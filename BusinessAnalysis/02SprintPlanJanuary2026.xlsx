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\Micro2Move\BusinessAnalysis\"/>
    </mc:Choice>
  </mc:AlternateContent>
  <xr:revisionPtr revIDLastSave="0" documentId="13_ncr:1_{04B6F80A-CEF5-4F6A-9D40-13DA59B6C7DD}" xr6:coauthVersionLast="47" xr6:coauthVersionMax="47" xr10:uidLastSave="{00000000-0000-0000-0000-000000000000}"/>
  <bookViews>
    <workbookView xWindow="-96" yWindow="0" windowWidth="13380" windowHeight="12336" xr2:uid="{00000000-000D-0000-FFFF-FFFF00000000}"/>
  </bookViews>
  <sheets>
    <sheet name="Sprint Board" sheetId="1" r:id="rId1"/>
    <sheet name="Sheet1" sheetId="4" r:id="rId2"/>
    <sheet name="Daily Standup Guide" sheetId="2" r:id="rId3"/>
    <sheet name="Burndow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 a="1"/>
  <c r="I12" i="1" s="1"/>
  <c r="J12" i="1" s="1"/>
  <c r="I13" i="1" a="1"/>
  <c r="I13" i="1" s="1"/>
  <c r="J13" i="1" s="1"/>
  <c r="I8" i="1" a="1"/>
  <c r="I8" i="1" s="1"/>
  <c r="J8" i="1" s="1"/>
  <c r="K1" i="1"/>
  <c r="I2" i="1" a="1"/>
  <c r="I2" i="1" s="1"/>
  <c r="J2" i="1" s="1"/>
  <c r="I23" i="1" a="1"/>
  <c r="I23" i="1" s="1"/>
  <c r="J23" i="1" s="1"/>
  <c r="I3" i="1" a="1"/>
  <c r="I3" i="1" s="1"/>
  <c r="J3" i="1" s="1"/>
  <c r="I4" i="1" a="1"/>
  <c r="I4" i="1" s="1"/>
  <c r="J4" i="1" s="1"/>
  <c r="I5" i="1" a="1"/>
  <c r="I5" i="1" s="1"/>
  <c r="J5" i="1" s="1"/>
  <c r="I6" i="1" a="1"/>
  <c r="I6" i="1" s="1"/>
  <c r="J6" i="1" s="1"/>
  <c r="I7" i="1" a="1"/>
  <c r="I7" i="1" s="1"/>
  <c r="J7" i="1" s="1"/>
  <c r="I10" i="1" a="1"/>
  <c r="I10" i="1" s="1"/>
  <c r="J10" i="1" s="1"/>
  <c r="I9" i="1" a="1"/>
  <c r="I9" i="1" s="1"/>
  <c r="J9" i="1" s="1"/>
  <c r="I11" i="1" a="1"/>
  <c r="I11" i="1" s="1"/>
  <c r="J11" i="1" s="1"/>
  <c r="C4" i="4"/>
  <c r="C5" i="4"/>
  <c r="C6" i="4"/>
  <c r="C7" i="4"/>
  <c r="C8" i="4"/>
  <c r="C9" i="4"/>
  <c r="C10" i="4"/>
  <c r="C11" i="4"/>
  <c r="C12" i="4"/>
  <c r="C3" i="4"/>
  <c r="B4" i="4"/>
  <c r="B5" i="4"/>
  <c r="B6" i="4"/>
  <c r="B7" i="4"/>
  <c r="B8" i="4"/>
  <c r="B9" i="4"/>
  <c r="B10" i="4"/>
  <c r="B11" i="4"/>
  <c r="B12" i="4"/>
  <c r="B3" i="4"/>
  <c r="I25" i="1" a="1"/>
  <c r="I25" i="1" s="1"/>
  <c r="J25" i="1" s="1"/>
  <c r="I66" i="1" a="1"/>
  <c r="I66" i="1" s="1"/>
  <c r="J66" i="1" s="1"/>
  <c r="I53" i="1" a="1"/>
  <c r="I53" i="1" s="1"/>
  <c r="J53" i="1" s="1"/>
  <c r="I54" i="1" a="1"/>
  <c r="I54" i="1" s="1"/>
  <c r="J54" i="1" s="1"/>
  <c r="I55" i="1" a="1"/>
  <c r="I55" i="1" s="1"/>
  <c r="J55" i="1" s="1"/>
  <c r="I70" i="1" a="1"/>
  <c r="I70" i="1" s="1"/>
  <c r="J70" i="1" s="1"/>
  <c r="I46" i="1" a="1"/>
  <c r="I46" i="1" s="1"/>
  <c r="J46" i="1" s="1"/>
  <c r="I42" i="1" a="1"/>
  <c r="I42" i="1" s="1"/>
  <c r="J42" i="1" s="1"/>
  <c r="I38" i="1" a="1"/>
  <c r="I38" i="1" s="1"/>
  <c r="J38" i="1" s="1"/>
  <c r="I30" i="1" a="1"/>
  <c r="I30" i="1" s="1"/>
  <c r="J30" i="1" s="1"/>
  <c r="I26" i="1" a="1"/>
  <c r="I26" i="1" s="1"/>
  <c r="J26" i="1" s="1"/>
  <c r="I27" i="1" a="1"/>
  <c r="I27" i="1" s="1"/>
  <c r="J27" i="1" s="1"/>
  <c r="I28" i="1" a="1"/>
  <c r="I28" i="1" s="1"/>
  <c r="J28" i="1" s="1"/>
  <c r="I29" i="1" a="1"/>
  <c r="I29" i="1" s="1"/>
  <c r="J29" i="1" s="1"/>
  <c r="I21" i="1" a="1"/>
  <c r="I21" i="1" s="1"/>
  <c r="J21" i="1" s="1"/>
  <c r="I20" i="1" a="1"/>
  <c r="I20" i="1" s="1"/>
  <c r="J20" i="1" s="1"/>
  <c r="I19" i="1" a="1"/>
  <c r="I19" i="1" s="1"/>
  <c r="J19" i="1" s="1"/>
  <c r="I61" i="1" a="1"/>
  <c r="I61" i="1" s="1"/>
  <c r="J61" i="1" s="1"/>
  <c r="I15" i="1" a="1"/>
  <c r="I15" i="1" s="1"/>
  <c r="J15" i="1" s="1"/>
  <c r="I16" i="1" a="1"/>
  <c r="I16" i="1" s="1"/>
  <c r="J16" i="1" s="1"/>
  <c r="I17" i="1" a="1"/>
  <c r="I17" i="1" s="1"/>
  <c r="J17" i="1" s="1"/>
  <c r="I18" i="1" a="1"/>
  <c r="I18" i="1" s="1"/>
  <c r="J18" i="1" s="1"/>
  <c r="I14" i="1" a="1"/>
  <c r="I14" i="1" s="1"/>
  <c r="J14" i="1" s="1"/>
  <c r="I22" i="1" a="1"/>
  <c r="I22" i="1" s="1"/>
  <c r="J22" i="1" s="1"/>
  <c r="I50" i="1" a="1"/>
  <c r="I50" i="1" s="1"/>
  <c r="J50" i="1" s="1"/>
  <c r="I52" i="1" a="1"/>
  <c r="I52" i="1" s="1"/>
  <c r="J52" i="1" s="1"/>
  <c r="I51" i="1" a="1"/>
  <c r="I51" i="1" s="1"/>
  <c r="J51" i="1" s="1"/>
  <c r="I56" i="1" a="1"/>
  <c r="I56" i="1" s="1"/>
  <c r="J56" i="1" s="1"/>
  <c r="I57" i="1" a="1"/>
  <c r="I57" i="1" s="1"/>
  <c r="J57" i="1" s="1"/>
  <c r="I58" i="1" a="1"/>
  <c r="I58" i="1" s="1"/>
  <c r="J58" i="1" s="1"/>
  <c r="I59" i="1" a="1"/>
  <c r="I59" i="1" s="1"/>
  <c r="J59" i="1" s="1"/>
  <c r="I67" i="1" a="1"/>
  <c r="I67" i="1" s="1"/>
  <c r="J67" i="1" s="1"/>
  <c r="I68" i="1" a="1"/>
  <c r="I68" i="1" s="1"/>
  <c r="J68" i="1" s="1"/>
  <c r="I69" i="1" a="1"/>
  <c r="I69" i="1" s="1"/>
  <c r="J69" i="1" s="1"/>
  <c r="I60" i="1" a="1"/>
  <c r="I60" i="1" s="1"/>
  <c r="J60" i="1" s="1"/>
  <c r="I62" i="1" a="1"/>
  <c r="I62" i="1" s="1"/>
  <c r="J62" i="1" s="1"/>
  <c r="I63" i="1" a="1"/>
  <c r="I63" i="1" s="1"/>
  <c r="J63" i="1" s="1"/>
  <c r="I64" i="1" a="1"/>
  <c r="I64" i="1" s="1"/>
  <c r="J64" i="1" s="1"/>
  <c r="I65" i="1" a="1"/>
  <c r="I65" i="1" s="1"/>
  <c r="J65" i="1" s="1"/>
  <c r="I71" i="1" a="1"/>
  <c r="I71" i="1" s="1"/>
  <c r="J71" i="1" s="1"/>
  <c r="I72" i="1" a="1"/>
  <c r="I72" i="1" s="1"/>
  <c r="J72" i="1" s="1"/>
  <c r="I73" i="1" a="1"/>
  <c r="I73" i="1" s="1"/>
  <c r="J73" i="1" s="1"/>
  <c r="I74" i="1" a="1"/>
  <c r="I74" i="1" s="1"/>
  <c r="J74" i="1" s="1"/>
  <c r="I75" i="1" a="1"/>
  <c r="I75" i="1" s="1"/>
  <c r="J75" i="1" s="1"/>
  <c r="J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<sst xmlns="http://schemas.openxmlformats.org/spreadsheetml/2006/main" count="471" uniqueCount="100">
  <si>
    <t>Epic</t>
  </si>
  <si>
    <t>User Story ID</t>
  </si>
  <si>
    <t>User Story (Short)</t>
  </si>
  <si>
    <t>Task</t>
  </si>
  <si>
    <t>Assigned To</t>
  </si>
  <si>
    <t>Status</t>
  </si>
  <si>
    <t>Blocker / Notes</t>
  </si>
  <si>
    <t>Auth</t>
  </si>
  <si>
    <t>No</t>
  </si>
  <si>
    <t>Alekhya</t>
  </si>
  <si>
    <t>Daily Standup Checklist</t>
  </si>
  <si>
    <t>Is any task Blocked?</t>
  </si>
  <si>
    <t>Is any task In Progress for &gt;2 days?</t>
  </si>
  <si>
    <t>Is Sprint Goal still safe?</t>
  </si>
  <si>
    <t>Any dependency issues?</t>
  </si>
  <si>
    <t>Any help needed today?</t>
  </si>
  <si>
    <t>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</si>
  <si>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</si>
  <si>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</si>
  <si>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</si>
  <si>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</si>
  <si>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</si>
  <si>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</si>
  <si>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</si>
  <si>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</si>
  <si>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</si>
  <si>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</si>
  <si>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ToDo</t>
  </si>
  <si>
    <t>DoD Met?</t>
  </si>
  <si>
    <t>T-Shirt Sizing</t>
  </si>
  <si>
    <t>Story Point</t>
  </si>
  <si>
    <t>Show inline errors</t>
  </si>
  <si>
    <t>S</t>
  </si>
  <si>
    <t>M</t>
  </si>
  <si>
    <t>XL</t>
  </si>
  <si>
    <t>Sayan</t>
  </si>
  <si>
    <t>Anirban</t>
  </si>
  <si>
    <t>L</t>
  </si>
  <si>
    <t>Remaining Story Points</t>
  </si>
  <si>
    <t>XS</t>
  </si>
  <si>
    <t>Scope</t>
  </si>
  <si>
    <t>Task #</t>
  </si>
  <si>
    <t>Test</t>
  </si>
  <si>
    <t>Atish</t>
  </si>
  <si>
    <t>Frontend Dev</t>
  </si>
  <si>
    <t>Sign Up</t>
  </si>
  <si>
    <t>1. Submit form data
2. Submit ID image
3. Submit selfie image</t>
  </si>
  <si>
    <t>Sign In</t>
  </si>
  <si>
    <t>Post-landing Navigation</t>
  </si>
  <si>
    <r>
      <t xml:space="preserve">Given user's authStatus = UNAUTHENTICATED and entryIntent = LIST/RENT/NULL
1. Navigate to </t>
    </r>
    <r>
      <rPr>
        <b/>
        <sz val="11"/>
        <color theme="1"/>
        <rFont val="Calibri"/>
        <family val="2"/>
        <scheme val="minor"/>
      </rPr>
      <t xml:space="preserve">SignIn </t>
    </r>
    <r>
      <rPr>
        <sz val="11"/>
        <color theme="1"/>
        <rFont val="Calibri"/>
        <family val="2"/>
        <scheme val="minor"/>
      </rPr>
      <t>screen</t>
    </r>
  </si>
  <si>
    <r>
      <t xml:space="preserve">Given user's authStatus = UNAUTHENTICATED, pressing Rent a Bike or List a Bike button navigates to </t>
    </r>
    <r>
      <rPr>
        <b/>
        <sz val="11"/>
        <color theme="1"/>
        <rFont val="Calibri"/>
        <family val="2"/>
        <scheme val="minor"/>
      </rPr>
      <t>SignIn</t>
    </r>
    <r>
      <rPr>
        <sz val="11"/>
        <color theme="1"/>
        <rFont val="Calibri"/>
        <family val="2"/>
        <scheme val="minor"/>
      </rPr>
      <t xml:space="preserve"> page</t>
    </r>
  </si>
  <si>
    <r>
      <t xml:space="preserve">Pressing </t>
    </r>
    <r>
      <rPr>
        <u/>
        <sz val="11"/>
        <color theme="1"/>
        <rFont val="Calibri"/>
        <family val="2"/>
        <scheme val="minor"/>
      </rPr>
      <t>Explore</t>
    </r>
    <r>
      <rPr>
        <sz val="11"/>
        <color theme="1"/>
        <rFont val="Calibri"/>
        <family val="2"/>
        <scheme val="minor"/>
      </rPr>
      <t xml:space="preserve"> hyperlink
1. Navigates to </t>
    </r>
    <r>
      <rPr>
        <b/>
        <sz val="11"/>
        <color theme="1"/>
        <rFont val="Calibri"/>
        <family val="2"/>
        <scheme val="minor"/>
      </rPr>
      <t>ExploreMaps</t>
    </r>
    <r>
      <rPr>
        <sz val="11"/>
        <color theme="1"/>
        <rFont val="Calibri"/>
        <family val="2"/>
        <scheme val="minor"/>
      </rPr>
      <t xml:space="preserve"> screen layout (MANUAL/e2e TESTING)
2. Activates </t>
    </r>
    <r>
      <rPr>
        <b/>
        <sz val="11"/>
        <color theme="1"/>
        <rFont val="Calibri"/>
        <family val="2"/>
        <scheme val="minor"/>
      </rPr>
      <t>Explore</t>
    </r>
    <r>
      <rPr>
        <sz val="11"/>
        <color theme="1"/>
        <rFont val="Calibri"/>
        <family val="2"/>
        <scheme val="minor"/>
      </rPr>
      <t xml:space="preserve"> bottomNavTab (MANUAL/e2e TESTING)</t>
    </r>
  </si>
  <si>
    <t>Explore</t>
  </si>
  <si>
    <r>
      <t xml:space="preserve">Given user's authStatus = AUTHENTICATED or UNAUTHENTICATED:
1. Navigate to </t>
    </r>
    <r>
      <rPr>
        <b/>
        <sz val="11"/>
        <rFont val="Calibri"/>
        <family val="2"/>
        <scheme val="minor"/>
      </rPr>
      <t>ExploreMaps</t>
    </r>
    <r>
      <rPr>
        <sz val="11"/>
        <rFont val="Calibri"/>
        <family val="2"/>
        <scheme val="minor"/>
      </rPr>
      <t xml:space="preserve"> screen layout
2. Activate </t>
    </r>
    <r>
      <rPr>
        <b/>
        <sz val="11"/>
        <rFont val="Calibri"/>
        <family val="2"/>
        <scheme val="minor"/>
      </rPr>
      <t>Explore</t>
    </r>
    <r>
      <rPr>
        <sz val="11"/>
        <rFont val="Calibri"/>
        <family val="2"/>
        <scheme val="minor"/>
      </rPr>
      <t xml:space="preserve"> bottomNavTab (guest access)</t>
    </r>
  </si>
  <si>
    <r>
      <t xml:space="preserve">Given user's authStatus = AUTHENTICATED, tapping on </t>
    </r>
    <r>
      <rPr>
        <b/>
        <sz val="11"/>
        <color theme="1"/>
        <rFont val="Calibri"/>
        <family val="2"/>
        <scheme val="minor"/>
      </rPr>
      <t>My Rides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My Bikes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Profile </t>
    </r>
    <r>
      <rPr>
        <sz val="11"/>
        <color theme="1"/>
        <rFont val="Calibri"/>
        <family val="2"/>
        <scheme val="minor"/>
      </rPr>
      <t>tabs should navigate the user to the respective screens</t>
    </r>
  </si>
  <si>
    <r>
      <t xml:space="preserve">Given user's authStatus = UNAUTHENTICATED, if user presses any other tab
1. Block navigation for </t>
    </r>
    <r>
      <rPr>
        <b/>
        <sz val="11"/>
        <color theme="1"/>
        <rFont val="Calibri"/>
        <family val="2"/>
        <scheme val="minor"/>
      </rPr>
      <t>My Rides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My Bikes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Profile
</t>
    </r>
    <r>
      <rPr>
        <sz val="11"/>
        <color theme="1"/>
        <rFont val="Calibri"/>
        <family val="2"/>
        <scheme val="minor"/>
      </rPr>
      <t xml:space="preserve">2. Store tab pressing intent of user in context </t>
    </r>
    <r>
      <rPr>
        <b/>
        <sz val="11"/>
        <color theme="1"/>
        <rFont val="Calibri"/>
        <family val="2"/>
        <scheme val="minor"/>
      </rPr>
      <t>tabIntent</t>
    </r>
    <r>
      <rPr>
        <sz val="11"/>
        <color theme="1"/>
        <rFont val="Calibri"/>
        <family val="2"/>
        <scheme val="minor"/>
      </rPr>
      <t xml:space="preserve"> = RIDES, BIKES, PROFILE and share globally
3. navigate the user to </t>
    </r>
    <r>
      <rPr>
        <b/>
        <sz val="11"/>
        <color theme="1"/>
        <rFont val="Calibri"/>
        <family val="2"/>
        <scheme val="minor"/>
      </rPr>
      <t>SignIn</t>
    </r>
    <r>
      <rPr>
        <sz val="11"/>
        <color theme="1"/>
        <rFont val="Calibri"/>
        <family val="2"/>
        <scheme val="minor"/>
      </rPr>
      <t xml:space="preserve"> screen</t>
    </r>
  </si>
  <si>
    <r>
      <t>1.</t>
    </r>
    <r>
      <rPr>
        <b/>
        <sz val="11"/>
        <rFont val="Calibri"/>
        <family val="2"/>
        <scheme val="minor"/>
      </rPr>
      <t xml:space="preserve"> Explore</t>
    </r>
    <r>
      <rPr>
        <sz val="11"/>
        <rFont val="Calibri"/>
        <family val="2"/>
        <scheme val="minor"/>
      </rPr>
      <t xml:space="preserve"> screen render
2. </t>
    </r>
    <r>
      <rPr>
        <b/>
        <sz val="11"/>
        <rFont val="Calibri"/>
        <family val="2"/>
        <scheme val="minor"/>
      </rPr>
      <t>My Rides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>My Bikes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>Explore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 xml:space="preserve">Profile </t>
    </r>
    <r>
      <rPr>
        <sz val="11"/>
        <rFont val="Calibri"/>
        <family val="2"/>
        <scheme val="minor"/>
      </rPr>
      <t>bottomNavTabs render with Explore tab active (MANUAL/e2e TESTING)</t>
    </r>
  </si>
  <si>
    <t>All tab icons press call mockFunction()</t>
  </si>
  <si>
    <r>
      <t xml:space="preserve">Given user's authStatus = AUTHENTICATED, pressing Rent a Bike button:
1. Navigates to </t>
    </r>
    <r>
      <rPr>
        <b/>
        <sz val="11"/>
        <color theme="1"/>
        <rFont val="Calibri"/>
        <family val="2"/>
        <scheme val="minor"/>
      </rPr>
      <t xml:space="preserve">RenterE-BikeFilter </t>
    </r>
    <r>
      <rPr>
        <sz val="11"/>
        <color theme="1"/>
        <rFont val="Calibri"/>
        <family val="2"/>
        <scheme val="minor"/>
      </rPr>
      <t xml:space="preserve">screen
2. Activates </t>
    </r>
    <r>
      <rPr>
        <b/>
        <sz val="11"/>
        <color theme="1"/>
        <rFont val="Calibri"/>
        <family val="2"/>
        <scheme val="minor"/>
      </rPr>
      <t>My Rides</t>
    </r>
    <r>
      <rPr>
        <sz val="11"/>
        <color theme="1"/>
        <rFont val="Calibri"/>
        <family val="2"/>
        <scheme val="minor"/>
      </rPr>
      <t xml:space="preserve"> bottomNavTab</t>
    </r>
  </si>
  <si>
    <r>
      <t xml:space="preserve">Given user's authStatus = AUTHENTICATED, pressing List a Bike button:
1. Navigates to </t>
    </r>
    <r>
      <rPr>
        <b/>
        <sz val="11"/>
        <color theme="1"/>
        <rFont val="Calibri"/>
        <family val="2"/>
        <scheme val="minor"/>
      </rPr>
      <t xml:space="preserve">OwnerE-BikeListing </t>
    </r>
    <r>
      <rPr>
        <sz val="11"/>
        <color theme="1"/>
        <rFont val="Calibri"/>
        <family val="2"/>
        <scheme val="minor"/>
      </rPr>
      <t xml:space="preserve">screen
2. Activates </t>
    </r>
    <r>
      <rPr>
        <b/>
        <sz val="11"/>
        <color theme="1"/>
        <rFont val="Calibri"/>
        <family val="2"/>
        <scheme val="minor"/>
      </rPr>
      <t>My Bikes</t>
    </r>
    <r>
      <rPr>
        <sz val="11"/>
        <color theme="1"/>
        <rFont val="Calibri"/>
        <family val="2"/>
        <scheme val="minor"/>
      </rPr>
      <t xml:space="preserve"> bottomNavTab</t>
    </r>
  </si>
  <si>
    <r>
      <t xml:space="preserve">Given user's authStatus = AUTHENTICATED and entryIntent = RENT:
1. Navigate to </t>
    </r>
    <r>
      <rPr>
        <b/>
        <sz val="11"/>
        <color theme="1"/>
        <rFont val="Calibri"/>
        <family val="2"/>
        <scheme val="minor"/>
      </rPr>
      <t xml:space="preserve">RenterE-BikeFilter </t>
    </r>
    <r>
      <rPr>
        <sz val="11"/>
        <color theme="1"/>
        <rFont val="Calibri"/>
        <family val="2"/>
        <scheme val="minor"/>
      </rPr>
      <t xml:space="preserve">screen
2. Show "Welcome Username" as heading of the </t>
    </r>
    <r>
      <rPr>
        <b/>
        <sz val="11"/>
        <color theme="1"/>
        <rFont val="Calibri"/>
        <family val="2"/>
        <scheme val="minor"/>
      </rPr>
      <t>RenterE-BikeFilter</t>
    </r>
    <r>
      <rPr>
        <sz val="11"/>
        <color theme="1"/>
        <rFont val="Calibri"/>
        <family val="2"/>
        <scheme val="minor"/>
      </rPr>
      <t xml:space="preserve"> screen
3. Show "Book an E-Bike" sub-heading under heading
3. Activate </t>
    </r>
    <r>
      <rPr>
        <b/>
        <sz val="11"/>
        <color theme="1"/>
        <rFont val="Calibri"/>
        <family val="2"/>
        <scheme val="minor"/>
      </rPr>
      <t>My Rides</t>
    </r>
    <r>
      <rPr>
        <sz val="11"/>
        <color theme="1"/>
        <rFont val="Calibri"/>
        <family val="2"/>
        <scheme val="minor"/>
      </rPr>
      <t xml:space="preserve"> bottomNavTab</t>
    </r>
  </si>
  <si>
    <r>
      <t xml:space="preserve">Given user's authStatus = AUTHENTICATED and entryIntent = LIST:
1. Navigate to </t>
    </r>
    <r>
      <rPr>
        <b/>
        <sz val="11"/>
        <color theme="1"/>
        <rFont val="Calibri"/>
        <family val="2"/>
        <scheme val="minor"/>
      </rPr>
      <t xml:space="preserve">OwnerE-BikeBooking </t>
    </r>
    <r>
      <rPr>
        <sz val="11"/>
        <color theme="1"/>
        <rFont val="Calibri"/>
        <family val="2"/>
        <scheme val="minor"/>
      </rPr>
      <t xml:space="preserve">screen
2. Show "Welcome Username" as heading of the </t>
    </r>
    <r>
      <rPr>
        <b/>
        <sz val="11"/>
        <color theme="1"/>
        <rFont val="Calibri"/>
        <family val="2"/>
        <scheme val="minor"/>
      </rPr>
      <t>OwnerE-BikeListing</t>
    </r>
    <r>
      <rPr>
        <sz val="11"/>
        <color theme="1"/>
        <rFont val="Calibri"/>
        <family val="2"/>
        <scheme val="minor"/>
      </rPr>
      <t xml:space="preserve"> screen
3. Show "Your E-Bikes" as subheading under heading
4. Activate </t>
    </r>
    <r>
      <rPr>
        <b/>
        <sz val="11"/>
        <color theme="1"/>
        <rFont val="Calibri"/>
        <family val="2"/>
        <scheme val="minor"/>
      </rPr>
      <t>My Bikes</t>
    </r>
    <r>
      <rPr>
        <sz val="11"/>
        <color theme="1"/>
        <rFont val="Calibri"/>
        <family val="2"/>
        <scheme val="minor"/>
      </rPr>
      <t xml:space="preserve"> bottomNavTab</t>
    </r>
  </si>
  <si>
    <r>
      <t xml:space="preserve">If user's authStatus = UNAUTHENTICATED
1. </t>
    </r>
    <r>
      <rPr>
        <b/>
        <sz val="11"/>
        <rFont val="Calibri"/>
        <family val="2"/>
        <scheme val="minor"/>
      </rPr>
      <t>My Rides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>My Bikes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 xml:space="preserve">Profile </t>
    </r>
    <r>
      <rPr>
        <sz val="11"/>
        <rFont val="Calibri"/>
        <family val="2"/>
        <scheme val="minor"/>
      </rPr>
      <t xml:space="preserve">tabs are not pressable (MANUAL/e2e TESTING)
2. user is navigated to </t>
    </r>
    <r>
      <rPr>
        <b/>
        <sz val="11"/>
        <rFont val="Calibri"/>
        <family val="2"/>
        <scheme val="minor"/>
      </rPr>
      <t>SignIn</t>
    </r>
    <r>
      <rPr>
        <sz val="11"/>
        <rFont val="Calibri"/>
        <family val="2"/>
        <scheme val="minor"/>
      </rPr>
      <t xml:space="preserve"> screen (MANUAL/e2e TESTING)</t>
    </r>
  </si>
  <si>
    <r>
      <t xml:space="preserve">If user's authStatus = UNAUTHENTICATED
Routing logic works with tabs mapped to correct screens:
1. </t>
    </r>
    <r>
      <rPr>
        <b/>
        <sz val="11"/>
        <rFont val="Calibri"/>
        <family val="2"/>
        <scheme val="minor"/>
      </rPr>
      <t>My Rides</t>
    </r>
    <r>
      <rPr>
        <sz val="11"/>
        <rFont val="Calibri"/>
        <family val="2"/>
        <scheme val="minor"/>
      </rPr>
      <t xml:space="preserve"> - RenterE-BikeFilter
2. </t>
    </r>
    <r>
      <rPr>
        <b/>
        <sz val="11"/>
        <rFont val="Calibri"/>
        <family val="2"/>
        <scheme val="minor"/>
      </rPr>
      <t>My Bikes</t>
    </r>
    <r>
      <rPr>
        <sz val="11"/>
        <rFont val="Calibri"/>
        <family val="2"/>
        <scheme val="minor"/>
      </rPr>
      <t xml:space="preserve"> -  OwnerE-BikeListing
3. </t>
    </r>
    <r>
      <rPr>
        <b/>
        <sz val="11"/>
        <rFont val="Calibri"/>
        <family val="2"/>
        <scheme val="minor"/>
      </rPr>
      <t>Explore</t>
    </r>
    <r>
      <rPr>
        <sz val="11"/>
        <rFont val="Calibri"/>
        <family val="2"/>
        <scheme val="minor"/>
      </rPr>
      <t xml:space="preserve"> - ExploreMaps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4. </t>
    </r>
    <r>
      <rPr>
        <b/>
        <sz val="11"/>
        <rFont val="Calibri"/>
        <family val="2"/>
        <scheme val="minor"/>
      </rPr>
      <t>Profile</t>
    </r>
    <r>
      <rPr>
        <sz val="11"/>
        <rFont val="Calibri"/>
        <family val="2"/>
        <scheme val="minor"/>
      </rPr>
      <t xml:space="preserve"> - Profile
(MANUAL/e2e TESTING)</t>
    </r>
  </si>
  <si>
    <t>After successful login (if user's authStatus = AUTHENTICATED) redirect to the intended tab, based on tabIntent</t>
  </si>
  <si>
    <r>
      <t xml:space="preserve">1. Create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screen layout
2. Full Name input
3. Birth date picker - calendar control
4. Email input
5. Terms &amp; Conditions checkbox
6. Disable Continue button until checkbox checked</t>
    </r>
  </si>
  <si>
    <t>Client-side validations:
1. Age &gt; 16 years
2. Prevent using same email to signup twice</t>
  </si>
  <si>
    <r>
      <t xml:space="preserve">1. Create T&amp;C screen layout
2. Render scrollable content
3. Implement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button
4. Navigate back to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screen upon pressing OK button</t>
    </r>
  </si>
  <si>
    <t>1. Validate image against ID ~ 80%</t>
  </si>
  <si>
    <t>1. Validate image is without hats or glasses
2. Validate image clarity (no blur or shake)</t>
  </si>
  <si>
    <t>1. Show loading state
2. Handle backend validation errors (existing email)
3. Display field entry errors</t>
  </si>
  <si>
    <t>1. Detect entryIntent (RENT/LIST)
2. Detect tabIntent (RIDES/BIKES/PROFILE)</t>
  </si>
  <si>
    <r>
      <t xml:space="preserve">1. Renter should be navigated to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screen layout
2. Show "Welcome Username" as heading of the RenterE-BikeFilter screen
3. Show "Book an E-Bike" sub-heading under heading
4. Activate </t>
    </r>
    <r>
      <rPr>
        <b/>
        <sz val="11"/>
        <color theme="1"/>
        <rFont val="Calibri"/>
        <family val="2"/>
        <scheme val="minor"/>
      </rPr>
      <t>My Rides</t>
    </r>
    <r>
      <rPr>
        <sz val="11"/>
        <color theme="1"/>
        <rFont val="Calibri"/>
        <family val="2"/>
        <scheme val="minor"/>
      </rPr>
      <t xml:space="preserve"> bottomNavTab</t>
    </r>
  </si>
  <si>
    <r>
      <t xml:space="preserve">1. Lister/Owner should be navigated to </t>
    </r>
    <r>
      <rPr>
        <b/>
        <sz val="11"/>
        <color theme="1"/>
        <rFont val="Calibri"/>
        <family val="2"/>
        <scheme val="minor"/>
      </rPr>
      <t>OwnerE-BikeBooking</t>
    </r>
    <r>
      <rPr>
        <sz val="11"/>
        <color theme="1"/>
        <rFont val="Calibri"/>
        <family val="2"/>
        <scheme val="minor"/>
      </rPr>
      <t xml:space="preserve"> screen
2. Show "Welcome Username" as heading of the OwnerE-BikeListing screen
3. Show "Your E-Bikes" as subheading under heading
4. Activate </t>
    </r>
    <r>
      <rPr>
        <b/>
        <sz val="11"/>
        <color theme="1"/>
        <rFont val="Calibri"/>
        <family val="2"/>
        <scheme val="minor"/>
      </rPr>
      <t>My Bikes</t>
    </r>
    <r>
      <rPr>
        <sz val="11"/>
        <color theme="1"/>
        <rFont val="Calibri"/>
        <family val="2"/>
        <scheme val="minor"/>
      </rPr>
      <t xml:space="preserve"> bottomNavTab</t>
    </r>
  </si>
  <si>
    <r>
      <t xml:space="preserve">1. T&amp;C checkbox pressing calls a mockFunction()
2. Govt. ID &amp; Selfie buttons pressing calls a mockFunction()
3. </t>
    </r>
    <r>
      <rPr>
        <b/>
        <sz val="11"/>
        <color theme="1"/>
        <rFont val="Calibri"/>
        <family val="2"/>
        <scheme val="minor"/>
      </rPr>
      <t xml:space="preserve">Continue </t>
    </r>
    <r>
      <rPr>
        <sz val="11"/>
        <color theme="1"/>
        <rFont val="Calibri"/>
        <family val="2"/>
        <scheme val="minor"/>
      </rPr>
      <t xml:space="preserve">&amp; </t>
    </r>
    <r>
      <rPr>
        <u/>
        <sz val="11"/>
        <color theme="1"/>
        <rFont val="Calibri"/>
        <family val="2"/>
        <scheme val="minor"/>
      </rPr>
      <t>Sign In</t>
    </r>
    <r>
      <rPr>
        <sz val="11"/>
        <color theme="1"/>
        <rFont val="Calibri"/>
        <family val="2"/>
        <scheme val="minor"/>
      </rPr>
      <t xml:space="preserve"> pressing calls a mockFunction()</t>
    </r>
  </si>
  <si>
    <r>
      <t xml:space="preserve">Sign Up screen renders
1. </t>
    </r>
    <r>
      <rPr>
        <b/>
        <sz val="11"/>
        <color theme="1"/>
        <rFont val="Calibri"/>
        <family val="2"/>
        <scheme val="minor"/>
      </rPr>
      <t>Full Name</t>
    </r>
    <r>
      <rPr>
        <sz val="11"/>
        <color theme="1"/>
        <rFont val="Calibri"/>
        <family val="2"/>
        <scheme val="minor"/>
      </rPr>
      <t xml:space="preserve"> input field is visible
2. </t>
    </r>
    <r>
      <rPr>
        <b/>
        <sz val="11"/>
        <color theme="1"/>
        <rFont val="Calibri"/>
        <family val="2"/>
        <scheme val="minor"/>
      </rPr>
      <t>Date of Birth</t>
    </r>
    <r>
      <rPr>
        <sz val="11"/>
        <color theme="1"/>
        <rFont val="Calibri"/>
        <family val="2"/>
        <scheme val="minor"/>
      </rPr>
      <t xml:space="preserve"> input field and calendar control is visible
3.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input is visible
4. </t>
    </r>
    <r>
      <rPr>
        <b/>
        <sz val="11"/>
        <color theme="1"/>
        <rFont val="Calibri"/>
        <family val="2"/>
        <scheme val="minor"/>
      </rPr>
      <t>Create Password</t>
    </r>
    <r>
      <rPr>
        <sz val="11"/>
        <color theme="1"/>
        <rFont val="Calibri"/>
        <family val="2"/>
        <scheme val="minor"/>
      </rPr>
      <t xml:space="preserve"> input is visible
5. I accept the T&amp;C </t>
    </r>
    <r>
      <rPr>
        <b/>
        <sz val="11"/>
        <color theme="1"/>
        <rFont val="Calibri"/>
        <family val="2"/>
        <scheme val="minor"/>
      </rPr>
      <t>checkbox</t>
    </r>
    <r>
      <rPr>
        <sz val="11"/>
        <color theme="1"/>
        <rFont val="Calibri"/>
        <family val="2"/>
        <scheme val="minor"/>
      </rPr>
      <t xml:space="preserve"> is visible
6. Upload Government ID &amp; Selfie buttons are visible
7.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 is visible
8. </t>
    </r>
    <r>
      <rPr>
        <u/>
        <sz val="11"/>
        <color theme="1"/>
        <rFont val="Calibri"/>
        <family val="2"/>
        <scheme val="minor"/>
      </rPr>
      <t>Sign In</t>
    </r>
    <r>
      <rPr>
        <sz val="11"/>
        <color theme="1"/>
        <rFont val="Calibri"/>
        <family val="2"/>
        <scheme val="minor"/>
      </rPr>
      <t xml:space="preserve"> hyperlink is visible</t>
    </r>
  </si>
  <si>
    <r>
      <t xml:space="preserve">1. Add ID upload button
2. Integrate camera
3. Preview uploaded ID
4. Handle upload failure
5.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Retake</t>
    </r>
    <r>
      <rPr>
        <sz val="11"/>
        <color theme="1"/>
        <rFont val="Calibri"/>
        <family val="2"/>
        <scheme val="minor"/>
      </rPr>
      <t xml:space="preserve"> buttons
6.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button closes the camera and navigates to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screen, </t>
    </r>
    <r>
      <rPr>
        <b/>
        <sz val="11"/>
        <color theme="1"/>
        <rFont val="Calibri"/>
        <family val="2"/>
        <scheme val="minor"/>
      </rPr>
      <t>Retake</t>
    </r>
    <r>
      <rPr>
        <sz val="11"/>
        <color theme="1"/>
        <rFont val="Calibri"/>
        <family val="2"/>
        <scheme val="minor"/>
      </rPr>
      <t xml:space="preserve"> button reopens the camera</t>
    </r>
  </si>
  <si>
    <r>
      <t xml:space="preserve">1. Add selfie capture button
2. Open camera
3. Capture selfie image
4. Preview selfie
5.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Retake</t>
    </r>
    <r>
      <rPr>
        <sz val="11"/>
        <color theme="1"/>
        <rFont val="Calibri"/>
        <family val="2"/>
        <scheme val="minor"/>
      </rPr>
      <t xml:space="preserve"> buttons
6.</t>
    </r>
    <r>
      <rPr>
        <b/>
        <sz val="11"/>
        <color theme="1"/>
        <rFont val="Calibri"/>
        <family val="2"/>
        <scheme val="minor"/>
      </rPr>
      <t xml:space="preserve"> Ok</t>
    </r>
    <r>
      <rPr>
        <sz val="11"/>
        <color theme="1"/>
        <rFont val="Calibri"/>
        <family val="2"/>
        <scheme val="minor"/>
      </rPr>
      <t xml:space="preserve"> button closes the camera and navigates to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screen, </t>
    </r>
    <r>
      <rPr>
        <b/>
        <sz val="11"/>
        <color theme="1"/>
        <rFont val="Calibri"/>
        <family val="2"/>
        <scheme val="minor"/>
      </rPr>
      <t>Retake</t>
    </r>
    <r>
      <rPr>
        <sz val="11"/>
        <color theme="1"/>
        <rFont val="Calibri"/>
        <family val="2"/>
        <scheme val="minor"/>
      </rPr>
      <t xml:space="preserve"> button reopens the camera
7. Handle upload failure</t>
    </r>
  </si>
  <si>
    <r>
      <t xml:space="preserve">1. T&amp;C screen navigation and reverse navigation to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screen via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button works
2. Camera open, close, </t>
    </r>
    <r>
      <rPr>
        <b/>
        <sz val="11"/>
        <color theme="1"/>
        <rFont val="Calibri"/>
        <family val="2"/>
        <scheme val="minor"/>
      </rPr>
      <t>Retake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navigations work
3. </t>
    </r>
    <r>
      <rPr>
        <u/>
        <sz val="11"/>
        <color theme="1"/>
        <rFont val="Calibri"/>
        <family val="2"/>
        <scheme val="minor"/>
      </rPr>
      <t>Sign In</t>
    </r>
    <r>
      <rPr>
        <sz val="11"/>
        <color theme="1"/>
        <rFont val="Calibri"/>
        <family val="2"/>
        <scheme val="minor"/>
      </rPr>
      <t xml:space="preserve"> navigates to </t>
    </r>
    <r>
      <rPr>
        <b/>
        <sz val="11"/>
        <color theme="1"/>
        <rFont val="Calibri"/>
        <family val="2"/>
        <scheme val="minor"/>
      </rPr>
      <t>Sign In</t>
    </r>
    <r>
      <rPr>
        <sz val="11"/>
        <color theme="1"/>
        <rFont val="Calibri"/>
        <family val="2"/>
        <scheme val="minor"/>
      </rPr>
      <t xml:space="preserve"> screen
(MANUAL/e2e TESTING)</t>
    </r>
  </si>
  <si>
    <r>
      <t xml:space="preserve">1. Auto-login user upon successful sign up
2. Do not let the user to continue until all details are filled and </t>
    </r>
    <r>
      <rPr>
        <b/>
        <sz val="11"/>
        <color theme="1"/>
        <rFont val="Calibri"/>
        <family val="2"/>
        <scheme val="minor"/>
      </rPr>
      <t xml:space="preserve">T&amp;C </t>
    </r>
    <r>
      <rPr>
        <sz val="11"/>
        <color theme="1"/>
        <rFont val="Calibri"/>
        <family val="2"/>
        <scheme val="minor"/>
      </rPr>
      <t>is checked</t>
    </r>
  </si>
  <si>
    <r>
      <t xml:space="preserve">1. ID and Selfie matching accuracy ~ 80% (MANUAL/e2e TESTING)
2. Sign up attempt with duplicate email does NOT work
3. Sign up attempt with password length less than 6 characters does NOT work
4. Sign up attempt without checking in the </t>
    </r>
    <r>
      <rPr>
        <b/>
        <sz val="11"/>
        <color theme="1"/>
        <rFont val="Calibri"/>
        <family val="2"/>
        <scheme val="minor"/>
      </rPr>
      <t xml:space="preserve">T&amp;C </t>
    </r>
    <r>
      <rPr>
        <sz val="11"/>
        <color theme="1"/>
        <rFont val="Calibri"/>
        <family val="2"/>
        <scheme val="minor"/>
      </rPr>
      <t>checkbox does not work</t>
    </r>
  </si>
  <si>
    <t>KYC</t>
  </si>
  <si>
    <t>Days</t>
  </si>
  <si>
    <t>Actual Story Points Left</t>
  </si>
  <si>
    <t>Expected Story Points Left</t>
  </si>
  <si>
    <t>Story Points Done</t>
  </si>
  <si>
    <t>RenterE-BikeBookingFilter</t>
  </si>
  <si>
    <t>RenterE-BikeBookingBikeDetails</t>
  </si>
  <si>
    <t>Marketplace-Renting</t>
  </si>
  <si>
    <r>
      <t xml:space="preserve">In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screen component/layout:
1. Heading: "</t>
    </r>
    <r>
      <rPr>
        <b/>
        <sz val="11"/>
        <color theme="1"/>
        <rFont val="Calibri"/>
        <family val="2"/>
        <scheme val="minor"/>
      </rPr>
      <t>Welcome username</t>
    </r>
    <r>
      <rPr>
        <sz val="11"/>
        <color theme="1"/>
        <rFont val="Calibri"/>
        <family val="2"/>
        <scheme val="minor"/>
      </rPr>
      <t>"
2. Subheading: "B</t>
    </r>
    <r>
      <rPr>
        <b/>
        <sz val="11"/>
        <color theme="1"/>
        <rFont val="Calibri"/>
        <family val="2"/>
        <scheme val="minor"/>
      </rPr>
      <t>ook an E-Bike</t>
    </r>
    <r>
      <rPr>
        <sz val="11"/>
        <color theme="1"/>
        <rFont val="Calibri"/>
        <family val="2"/>
        <scheme val="minor"/>
      </rPr>
      <t xml:space="preserve">"
3.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DatePicker and </t>
    </r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DatePicker
4. Price Range (per week)
5.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box with dropdown for bike types
6. </t>
    </r>
    <r>
      <rPr>
        <b/>
        <sz val="11"/>
        <color theme="1"/>
        <rFont val="Calibri"/>
        <family val="2"/>
        <scheme val="minor"/>
      </rPr>
      <t>Pickup Location</t>
    </r>
    <r>
      <rPr>
        <sz val="11"/>
        <color theme="1"/>
        <rFont val="Calibri"/>
        <family val="2"/>
        <scheme val="minor"/>
      </rPr>
      <t xml:space="preserve"> - Location Picker
7. Style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 as primary
8. Style </t>
    </r>
    <r>
      <rPr>
        <b/>
        <sz val="11"/>
        <color theme="1"/>
        <rFont val="Calibri"/>
        <family val="2"/>
        <scheme val="minor"/>
      </rPr>
      <t>Visit My Bookings</t>
    </r>
    <r>
      <rPr>
        <sz val="11"/>
        <color theme="1"/>
        <rFont val="Calibri"/>
        <family val="2"/>
        <scheme val="minor"/>
      </rPr>
      <t xml:space="preserve"> button as secondary
9. Navigate from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RenterE-BikeBooking-BikeDetails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 press
10. Navigate from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RenterBookedBikesList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Visit My Bookings</t>
    </r>
    <r>
      <rPr>
        <sz val="11"/>
        <color theme="1"/>
        <rFont val="Calibri"/>
        <family val="2"/>
        <scheme val="minor"/>
      </rPr>
      <t xml:space="preserve"> button press</t>
    </r>
  </si>
  <si>
    <r>
      <t xml:space="preserve">1. Capture selected bike ID on click of </t>
    </r>
    <r>
      <rPr>
        <b/>
        <sz val="11"/>
        <color theme="1"/>
        <rFont val="Calibri"/>
        <family val="2"/>
        <scheme val="minor"/>
      </rPr>
      <t>Book This E-Bike</t>
    </r>
    <r>
      <rPr>
        <sz val="11"/>
        <color theme="1"/>
        <rFont val="Calibri"/>
        <family val="2"/>
        <scheme val="minor"/>
      </rPr>
      <t xml:space="preserve"> Button or </t>
    </r>
    <r>
      <rPr>
        <b/>
        <sz val="11"/>
        <color theme="1"/>
        <rFont val="Calibri"/>
        <family val="2"/>
        <scheme val="minor"/>
      </rPr>
      <t>cards</t>
    </r>
    <r>
      <rPr>
        <sz val="11"/>
        <color theme="1"/>
        <rFont val="Calibri"/>
        <family val="2"/>
        <scheme val="minor"/>
      </rPr>
      <t xml:space="preserve"> from the list
2. Navigate to </t>
    </r>
    <r>
      <rPr>
        <b/>
        <sz val="11"/>
        <color theme="1"/>
        <rFont val="Calibri"/>
        <family val="2"/>
        <scheme val="minor"/>
      </rPr>
      <t>RenterE-BikeBookingConfirmation</t>
    </r>
    <r>
      <rPr>
        <sz val="11"/>
        <color theme="1"/>
        <rFont val="Calibri"/>
        <family val="2"/>
        <scheme val="minor"/>
      </rPr>
      <t xml:space="preserve"> screen
3. Pass selected bike details via navigation params
4. Render selected bike details on </t>
    </r>
    <r>
      <rPr>
        <b/>
        <sz val="11"/>
        <color theme="1"/>
        <rFont val="Calibri"/>
        <family val="2"/>
        <scheme val="minor"/>
      </rPr>
      <t>RenterE-BikeBookingConfirmation</t>
    </r>
    <r>
      <rPr>
        <sz val="11"/>
        <color theme="1"/>
        <rFont val="Calibri"/>
        <family val="2"/>
        <scheme val="minor"/>
      </rPr>
      <t xml:space="preserve"> screen</t>
    </r>
  </si>
  <si>
    <t>You do not have an active booking for these dates!</t>
  </si>
  <si>
    <r>
      <t xml:space="preserve">1. Design the cards for </t>
    </r>
    <r>
      <rPr>
        <b/>
        <sz val="11"/>
        <color theme="1"/>
        <rFont val="Calibri"/>
        <family val="2"/>
        <scheme val="minor"/>
      </rPr>
      <t>Similar E-Bikes</t>
    </r>
    <r>
      <rPr>
        <sz val="11"/>
        <color theme="1"/>
        <rFont val="Calibri"/>
        <family val="2"/>
        <scheme val="minor"/>
      </rPr>
      <t xml:space="preserve"> list of cards
2. Make the cards clickable
3. Render </t>
    </r>
    <r>
      <rPr>
        <b/>
        <sz val="11"/>
        <color theme="1"/>
        <rFont val="Calibri"/>
        <family val="2"/>
        <scheme val="minor"/>
      </rPr>
      <t>E-bike 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Circular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thumbnail </t>
    </r>
    <r>
      <rPr>
        <sz val="11"/>
        <color theme="1"/>
        <rFont val="Calibri"/>
        <family val="2"/>
        <scheme val="minor"/>
      </rPr>
      <t xml:space="preserve">of the E-Bike,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 Range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E-bike type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Pickup location</t>
    </r>
    <r>
      <rPr>
        <sz val="11"/>
        <color theme="1"/>
        <rFont val="Calibri"/>
        <family val="2"/>
        <scheme val="minor"/>
      </rPr>
      <t xml:space="preserve"> in the cards</t>
    </r>
  </si>
  <si>
    <r>
      <t xml:space="preserve">1. Accept filter values from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screen
2. Fetch / mock list of available e-bikes
3. Apply filters to e-bike dataset
4. Sort matching bikes in ascending order of price
5. Identify cheapest bike from filtered results
6. If no results, show message: “</t>
    </r>
    <r>
      <rPr>
        <b/>
        <sz val="11"/>
        <color rgb="FFFF0000"/>
        <rFont val="Calibri"/>
        <family val="2"/>
        <scheme val="minor"/>
      </rPr>
      <t>No E-Bikes found! Consider increasing your budget.</t>
    </r>
    <r>
      <rPr>
        <sz val="11"/>
        <color theme="1"/>
        <rFont val="Calibri"/>
        <family val="2"/>
        <scheme val="minor"/>
      </rPr>
      <t>”</t>
    </r>
  </si>
  <si>
    <r>
      <t xml:space="preserve">1. Create </t>
    </r>
    <r>
      <rPr>
        <b/>
        <sz val="11"/>
        <color theme="1"/>
        <rFont val="Calibri"/>
        <family val="2"/>
        <scheme val="minor"/>
      </rPr>
      <t>RenterE-BikeBooking-BikeDetails</t>
    </r>
    <r>
      <rPr>
        <sz val="11"/>
        <color theme="1"/>
        <rFont val="Calibri"/>
        <family val="2"/>
        <scheme val="minor"/>
      </rPr>
      <t xml:space="preserve"> screen component/layout:
2. Render an empty card for highlighting the cheapest e-bike
3.</t>
    </r>
    <r>
      <rPr>
        <b/>
        <sz val="11"/>
        <color theme="1"/>
        <rFont val="Calibri"/>
        <family val="2"/>
        <scheme val="minor"/>
      </rPr>
      <t xml:space="preserve"> Price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E-bike type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pickup location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placeholders under big card
4. Style </t>
    </r>
    <r>
      <rPr>
        <b/>
        <sz val="11"/>
        <color theme="1"/>
        <rFont val="Calibri"/>
        <family val="2"/>
        <scheme val="minor"/>
      </rPr>
      <t>Book This E-Bike</t>
    </r>
    <r>
      <rPr>
        <sz val="11"/>
        <color theme="1"/>
        <rFont val="Calibri"/>
        <family val="2"/>
        <scheme val="minor"/>
      </rPr>
      <t xml:space="preserve"> button as primary
5. Add Subheading: </t>
    </r>
    <r>
      <rPr>
        <b/>
        <sz val="11"/>
        <color theme="1"/>
        <rFont val="Calibri"/>
        <family val="2"/>
        <scheme val="minor"/>
      </rPr>
      <t xml:space="preserve">Similar E-Bikes </t>
    </r>
    <r>
      <rPr>
        <sz val="11"/>
        <color theme="1"/>
        <rFont val="Calibri"/>
        <family val="2"/>
        <scheme val="minor"/>
      </rPr>
      <t>under the button</t>
    </r>
  </si>
  <si>
    <r>
      <t xml:space="preserve">1. Render the cheapest E-Bike's 
- </t>
    </r>
    <r>
      <rPr>
        <b/>
        <sz val="11"/>
        <color theme="1"/>
        <rFont val="Calibri"/>
        <family val="2"/>
        <scheme val="minor"/>
      </rPr>
      <t>enlarged image</t>
    </r>
    <r>
      <rPr>
        <sz val="11"/>
        <color theme="1"/>
        <rFont val="Calibri"/>
        <family val="2"/>
        <scheme val="minor"/>
      </rPr>
      <t xml:space="preserve"> as the card's background image (occupying 100% of the card)
-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 with (</t>
    </r>
    <r>
      <rPr>
        <b/>
        <sz val="11"/>
        <color theme="1"/>
        <rFont val="Calibri"/>
        <family val="2"/>
        <scheme val="minor"/>
      </rPr>
      <t>no. of ratings</t>
    </r>
    <r>
      <rPr>
        <sz val="11"/>
        <color theme="1"/>
        <rFont val="Calibri"/>
        <family val="2"/>
        <scheme val="minor"/>
      </rPr>
      <t xml:space="preserve">) in the lowest sub-section of the card with 85% opacity.
2.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E-bike type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Pickup location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of the cheapest e-bike under the card
3.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Wire </t>
    </r>
    <r>
      <rPr>
        <b/>
        <sz val="11"/>
        <color theme="1"/>
        <rFont val="Calibri"/>
        <family val="2"/>
        <scheme val="minor"/>
      </rPr>
      <t xml:space="preserve">Book This E-Bike </t>
    </r>
    <r>
      <rPr>
        <sz val="11"/>
        <color theme="1"/>
        <rFont val="Calibri"/>
        <family val="2"/>
        <scheme val="minor"/>
      </rPr>
      <t xml:space="preserve">button to the highlighted bike
</t>
    </r>
  </si>
  <si>
    <r>
      <t xml:space="preserve">1. Render remaining bikes as list of clickable cards, under </t>
    </r>
    <r>
      <rPr>
        <b/>
        <sz val="11"/>
        <color theme="1"/>
        <rFont val="Calibri"/>
        <family val="2"/>
        <scheme val="minor"/>
      </rPr>
      <t>Similar E-Bikes</t>
    </r>
    <r>
      <rPr>
        <sz val="11"/>
        <color theme="1"/>
        <rFont val="Calibri"/>
        <family val="2"/>
        <scheme val="minor"/>
      </rPr>
      <t xml:space="preserve"> subheading
2. Ensure list order: cheapest → costliest
3. Ensure scrollable list behavior
4. Handle loading state (skeleton)
5. Detect no-results condition
6. If no more filtered matching bikes to show in the </t>
    </r>
    <r>
      <rPr>
        <b/>
        <sz val="11"/>
        <color theme="1"/>
        <rFont val="Calibri"/>
        <family val="2"/>
        <scheme val="minor"/>
      </rPr>
      <t>Similar E-Bikes</t>
    </r>
    <r>
      <rPr>
        <sz val="11"/>
        <color theme="1"/>
        <rFont val="Calibri"/>
        <family val="2"/>
        <scheme val="minor"/>
      </rPr>
      <t xml:space="preserve"> list:
- Display: "</t>
    </r>
    <r>
      <rPr>
        <b/>
        <sz val="11"/>
        <color rgb="FFFF0000"/>
        <rFont val="Calibri"/>
        <family val="2"/>
        <scheme val="minor"/>
      </rPr>
      <t>Increase your budget to discover more amazing E-Bikes!</t>
    </r>
    <r>
      <rPr>
        <sz val="11"/>
        <color theme="1"/>
        <rFont val="Calibri"/>
        <family val="2"/>
        <scheme val="minor"/>
      </rPr>
      <t>"
- Disable scroll of the list view</t>
    </r>
  </si>
  <si>
    <t>RenterE-BikeBookingConfirmation</t>
  </si>
  <si>
    <r>
      <t xml:space="preserve">Create </t>
    </r>
    <r>
      <rPr>
        <b/>
        <sz val="11"/>
        <color theme="1"/>
        <rFont val="Calibri"/>
        <family val="2"/>
        <scheme val="minor"/>
      </rPr>
      <t>RenterE-BikeBookingConfirmation</t>
    </r>
    <r>
      <rPr>
        <sz val="11"/>
        <color theme="1"/>
        <rFont val="Calibri"/>
        <family val="2"/>
        <scheme val="minor"/>
      </rPr>
      <t xml:space="preserve"> screen component/layout:
1. Render the selected E-Bike's 
- enlarged image as the card's background image (occupying 100% of the card)
- name, rating with (no. of ratings) in the lowest sub-section of the card with 85% opacity.
2.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E-bike type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Pickup location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 range of booking</t>
    </r>
    <r>
      <rPr>
        <sz val="11"/>
        <color theme="1"/>
        <rFont val="Calibri"/>
        <family val="2"/>
        <scheme val="minor"/>
      </rPr>
      <t xml:space="preserve"> (From-To) of the cheapest e-bike under the card
3.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View Owner's Profile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clickable hyperlink
4. </t>
    </r>
    <r>
      <rPr>
        <b/>
        <sz val="11"/>
        <color theme="1"/>
        <rFont val="Calibri"/>
        <family val="2"/>
        <scheme val="minor"/>
      </rPr>
      <t>Insurance Requirements</t>
    </r>
    <r>
      <rPr>
        <sz val="11"/>
        <color theme="1"/>
        <rFont val="Calibri"/>
        <family val="2"/>
        <scheme val="minor"/>
      </rPr>
      <t xml:space="preserve"> section with 2-3 lines of the document, ending with </t>
    </r>
    <r>
      <rPr>
        <u/>
        <sz val="11"/>
        <color theme="1"/>
        <rFont val="Calibri"/>
        <family val="2"/>
        <scheme val="minor"/>
      </rPr>
      <t>Learn More</t>
    </r>
    <r>
      <rPr>
        <sz val="11"/>
        <color theme="1"/>
        <rFont val="Calibri"/>
        <family val="2"/>
        <scheme val="minor"/>
      </rPr>
      <t xml:space="preserve"> hyperlink
5. A chcekbox with "Purchase mandatory </t>
    </r>
    <r>
      <rPr>
        <u/>
        <sz val="11"/>
        <color theme="1"/>
        <rFont val="Calibri"/>
        <family val="2"/>
        <scheme val="minor"/>
      </rPr>
      <t>Insurance</t>
    </r>
    <r>
      <rPr>
        <sz val="11"/>
        <color theme="1"/>
        <rFont val="Calibri"/>
        <family val="2"/>
        <scheme val="minor"/>
      </rPr>
      <t xml:space="preserve">" (Insurance is hyperlink)
6. A primary button </t>
    </r>
    <r>
      <rPr>
        <b/>
        <sz val="11"/>
        <color theme="1"/>
        <rFont val="Calibri"/>
        <family val="2"/>
        <scheme val="minor"/>
      </rPr>
      <t>Book</t>
    </r>
  </si>
  <si>
    <r>
      <t xml:space="preserve">1.  </t>
    </r>
    <r>
      <rPr>
        <b/>
        <u/>
        <sz val="11"/>
        <color theme="1"/>
        <rFont val="Calibri"/>
        <family val="2"/>
        <scheme val="minor"/>
      </rPr>
      <t>View Owner's Profile</t>
    </r>
    <r>
      <rPr>
        <sz val="11"/>
        <color theme="1"/>
        <rFont val="Calibri"/>
        <family val="2"/>
        <scheme val="minor"/>
      </rPr>
      <t xml:space="preserve"> onClick navigate to </t>
    </r>
    <r>
      <rPr>
        <b/>
        <sz val="11"/>
        <color theme="1"/>
        <rFont val="Calibri"/>
        <family val="2"/>
        <scheme val="minor"/>
      </rPr>
      <t>RenterE-BikeBooking-SelectedBike'sOwnerDetails s</t>
    </r>
    <r>
      <rPr>
        <sz val="11"/>
        <color theme="1"/>
        <rFont val="Calibri"/>
        <family val="2"/>
        <scheme val="minor"/>
      </rPr>
      <t xml:space="preserve">creen
2.  </t>
    </r>
    <r>
      <rPr>
        <u/>
        <sz val="11"/>
        <color theme="1"/>
        <rFont val="Calibri"/>
        <family val="2"/>
        <scheme val="minor"/>
      </rPr>
      <t>Learn More</t>
    </r>
    <r>
      <rPr>
        <sz val="11"/>
        <color theme="1"/>
        <rFont val="Calibri"/>
        <family val="2"/>
        <scheme val="minor"/>
      </rPr>
      <t xml:space="preserve"> and </t>
    </r>
    <r>
      <rPr>
        <u/>
        <sz val="11"/>
        <color theme="1"/>
        <rFont val="Calibri"/>
        <family val="2"/>
        <scheme val="minor"/>
      </rPr>
      <t>Insurance</t>
    </r>
    <r>
      <rPr>
        <sz val="11"/>
        <color theme="1"/>
        <rFont val="Calibri"/>
        <family val="2"/>
        <scheme val="minor"/>
      </rPr>
      <t xml:space="preserve"> hyperlink onClick navigate to </t>
    </r>
    <r>
      <rPr>
        <b/>
        <sz val="11"/>
        <color theme="1"/>
        <rFont val="Calibri"/>
        <family val="2"/>
        <scheme val="minor"/>
      </rPr>
      <t>RenterE-BikeBookingInsuranceDetails</t>
    </r>
    <r>
      <rPr>
        <sz val="11"/>
        <color theme="1"/>
        <rFont val="Calibri"/>
        <family val="2"/>
        <scheme val="minor"/>
      </rPr>
      <t xml:space="preserve"> screen
3. Disable onClick of </t>
    </r>
    <r>
      <rPr>
        <b/>
        <sz val="11"/>
        <color theme="1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button until checkbox is not checked
4. If checked, onClick </t>
    </r>
    <r>
      <rPr>
        <b/>
        <sz val="11"/>
        <color theme="1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button navigate to </t>
    </r>
    <r>
      <rPr>
        <b/>
        <sz val="11"/>
        <color theme="1"/>
        <rFont val="Calibri"/>
        <family val="2"/>
        <scheme val="minor"/>
      </rPr>
      <t xml:space="preserve">RenterBookedE-BikesList </t>
    </r>
    <r>
      <rPr>
        <sz val="11"/>
        <color theme="1"/>
        <rFont val="Calibri"/>
        <family val="2"/>
        <scheme val="minor"/>
      </rPr>
      <t>screen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</si>
</sst>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6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 Story Points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General</c:formatCode>
                <c:ptCount val="11"/>
                <c:pt idx="0">
                  <c:v>156</c:v>
                </c:pt>
                <c:pt idx="1">
                  <c:v>156</c:v>
                </c:pt>
                <c:pt idx="2">
                  <c:v>156</c:v>
                </c:pt>
                <c:pt idx="3">
                  <c:v>156</c:v>
                </c:pt>
                <c:pt idx="4">
                  <c:v>156</c:v>
                </c:pt>
                <c:pt idx="5">
                  <c:v>148</c:v>
                </c:pt>
                <c:pt idx="6">
                  <c:v>148</c:v>
                </c:pt>
                <c:pt idx="7">
                  <c:v>148</c:v>
                </c:pt>
                <c:pt idx="8">
                  <c:v>148</c:v>
                </c:pt>
                <c:pt idx="9">
                  <c:v>148</c:v>
                </c:pt>
                <c:pt idx="10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3-4D70-A15D-11D521EE13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Expected Story Points Left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Sheet1!$C$2:$C$12</c:f>
              <c:numCache>
                <c:formatCode>General</c:formatCode>
                <c:ptCount val="11"/>
                <c:pt idx="0">
                  <c:v>156</c:v>
                </c:pt>
                <c:pt idx="1">
                  <c:v>140.4</c:v>
                </c:pt>
                <c:pt idx="2">
                  <c:v>124.8</c:v>
                </c:pt>
                <c:pt idx="3">
                  <c:v>109.2</c:v>
                </c:pt>
                <c:pt idx="4">
                  <c:v>93.6</c:v>
                </c:pt>
                <c:pt idx="5">
                  <c:v>78</c:v>
                </c:pt>
                <c:pt idx="6">
                  <c:v>62.400000000000006</c:v>
                </c:pt>
                <c:pt idx="7">
                  <c:v>46.8</c:v>
                </c:pt>
                <c:pt idx="8">
                  <c:v>31.200000000000003</c:v>
                </c:pt>
                <c:pt idx="9">
                  <c:v>15.599999999999994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3-4D70-A15D-11D521EE1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576623"/>
        <c:axId val="228581423"/>
      </c:lineChart>
      <c:catAx>
        <c:axId val="228576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81423"/>
        <c:crosses val="autoZero"/>
        <c:auto val="1"/>
        <c:lblAlgn val="ctr"/>
        <c:lblOffset val="100"/>
        <c:noMultiLvlLbl val="0"/>
      </c:catAx>
      <c:valAx>
        <c:axId val="2285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182880</xdr:rowOff>
    </xdr:from>
    <xdr:to>
      <xdr:col>18</xdr:col>
      <xdr:colOff>30480</xdr:colOff>
      <xdr:row>21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606402-996D-6CA4-C8E9-5276D0F88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C1" zoomScale="80" zoomScaleNormal="80" workbookViewId="0">
      <pane ySplit="1" topLeftCell="A19" activePane="bottomLeft" state="frozen"/>
      <selection pane="bottomLeft" activeCell="F27" sqref="F27"/>
    </sheetView>
  </sheetViews>
  <sheetFormatPr defaultRowHeight="14.4" x14ac:dyDescent="0.3"/>
  <cols>
    <col min="1" max="1" width="6.88671875" style="1" customWidth="1"/>
    <col min="2" max="2" width="11.6640625" style="1" customWidth="1"/>
    <col min="3" max="3" width="13.44140625" style="1" bestFit="1" customWidth="1"/>
    <col min="4" max="4" width="18.109375" style="1" bestFit="1" customWidth="1"/>
    <col min="5" max="5" width="12.33203125" style="1" bestFit="1" customWidth="1"/>
    <col min="6" max="6" width="80.21875" style="1" customWidth="1"/>
    <col min="7" max="7" width="12.44140625" style="1" bestFit="1" customWidth="1"/>
    <col min="8" max="8" width="13.33203125" style="1" bestFit="1" customWidth="1"/>
    <col min="9" max="9" width="11.5546875" style="1" bestFit="1" customWidth="1"/>
    <col min="10" max="10" width="4.6640625" style="1" bestFit="1" customWidth="1"/>
    <col min="11" max="11" width="4.6640625" style="1" customWidth="1"/>
    <col min="12" max="12" width="7" style="1" bestFit="1" customWidth="1"/>
    <col min="13" max="13" width="16" style="1" bestFit="1" customWidth="1"/>
    <col min="14" max="14" width="10.77734375" style="1" bestFit="1" customWidth="1"/>
    <col min="15" max="16384" width="8.88671875" style="1"/>
  </cols>
  <sheetData>
    <row r="1" spans="1:14" s="4" customFormat="1" ht="15.6" x14ac:dyDescent="0.3">
      <c r="A1" s="5" t="s">
        <v>41</v>
      </c>
      <c r="B1" s="5" t="s">
        <v>0</v>
      </c>
      <c r="C1" s="5" t="s">
        <v>1</v>
      </c>
      <c r="D1" s="5" t="s">
        <v>2</v>
      </c>
      <c r="E1" s="5" t="s">
        <v>40</v>
      </c>
      <c r="F1" s="5" t="s">
        <v>3</v>
      </c>
      <c r="G1" s="5" t="s">
        <v>4</v>
      </c>
      <c r="H1" s="5" t="s">
        <v>29</v>
      </c>
      <c r="I1" s="5" t="s">
        <v>30</v>
      </c>
      <c r="J1" s="5">
        <f>SUM(J2:J70)</f>
        <v>102</v>
      </c>
      <c r="K1" s="5">
        <f>SUM(K2:K70)</f>
        <v>16</v>
      </c>
      <c r="L1" s="5" t="s">
        <v>5</v>
      </c>
      <c r="M1" s="5" t="s">
        <v>6</v>
      </c>
      <c r="N1" s="5" t="s">
        <v>28</v>
      </c>
    </row>
    <row r="2" spans="1:14" ht="28.8" x14ac:dyDescent="0.3">
      <c r="A2" s="6">
        <v>12</v>
      </c>
      <c r="B2" s="6" t="s">
        <v>88</v>
      </c>
      <c r="C2" s="6">
        <v>1.1000000000000001</v>
      </c>
      <c r="D2" s="6"/>
      <c r="E2" s="6" t="s">
        <v>42</v>
      </c>
      <c r="F2" s="7"/>
      <c r="G2" s="6" t="s">
        <v>43</v>
      </c>
      <c r="H2" s="6"/>
      <c r="I2" s="6" t="str" cm="1">
        <f t="array" ref="I2">_xlfn.SWITCH(H2,"XS",1,"S",2,"M",3,"L",5,"XL",8,"XXL",13,"XXXL",21,"")</f>
        <v/>
      </c>
      <c r="J2" s="9" t="str">
        <f>I2</f>
        <v/>
      </c>
      <c r="K2" s="65">
        <v>16</v>
      </c>
      <c r="L2" s="6" t="s">
        <v>27</v>
      </c>
      <c r="M2" s="6"/>
      <c r="N2" s="6" t="s">
        <v>8</v>
      </c>
    </row>
    <row r="3" spans="1:14" ht="28.8" x14ac:dyDescent="0.3">
      <c r="A3" s="6">
        <v>13</v>
      </c>
      <c r="B3" s="6" t="s">
        <v>88</v>
      </c>
      <c r="C3" s="6">
        <v>1.1000000000000001</v>
      </c>
      <c r="D3" s="6"/>
      <c r="E3" s="6" t="s">
        <v>42</v>
      </c>
      <c r="F3" s="7"/>
      <c r="G3" s="6" t="s">
        <v>43</v>
      </c>
      <c r="H3" s="6"/>
      <c r="I3" s="6" t="str" cm="1">
        <f t="array" ref="I3">_xlfn.SWITCH(H3,"XS",1,"S",2,"M",3,"L",5,"XL",8,"XXL",13,"XXXL",21,"")</f>
        <v/>
      </c>
      <c r="J3" s="9" t="str">
        <f t="shared" ref="J3:J58" si="0">I3</f>
        <v/>
      </c>
      <c r="K3" s="66"/>
      <c r="L3" s="6" t="s">
        <v>27</v>
      </c>
      <c r="M3" s="6"/>
      <c r="N3" s="6" t="s">
        <v>8</v>
      </c>
    </row>
    <row r="4" spans="1:14" ht="28.8" x14ac:dyDescent="0.3">
      <c r="A4" s="6">
        <v>14</v>
      </c>
      <c r="B4" s="6" t="s">
        <v>88</v>
      </c>
      <c r="C4" s="6">
        <v>1.1000000000000001</v>
      </c>
      <c r="D4" s="6"/>
      <c r="E4" s="6" t="s">
        <v>42</v>
      </c>
      <c r="F4" s="8"/>
      <c r="G4" s="6" t="s">
        <v>43</v>
      </c>
      <c r="H4" s="6"/>
      <c r="I4" s="6" t="str" cm="1">
        <f t="array" ref="I4">_xlfn.SWITCH(H4,"XS",1,"S",2,"M",3,"L",5,"XL",8,"XXL",13,"XXXL",21,"")</f>
        <v/>
      </c>
      <c r="J4" s="9" t="str">
        <f t="shared" si="0"/>
        <v/>
      </c>
      <c r="K4" s="66"/>
      <c r="L4" s="6" t="s">
        <v>27</v>
      </c>
      <c r="M4" s="6"/>
      <c r="N4" s="6" t="s">
        <v>8</v>
      </c>
    </row>
    <row r="5" spans="1:14" ht="28.8" x14ac:dyDescent="0.3">
      <c r="A5" s="6">
        <v>15</v>
      </c>
      <c r="B5" s="6" t="s">
        <v>88</v>
      </c>
      <c r="C5" s="6">
        <v>1.1000000000000001</v>
      </c>
      <c r="D5" s="6"/>
      <c r="E5" s="6" t="s">
        <v>42</v>
      </c>
      <c r="F5" s="8"/>
      <c r="G5" s="6" t="s">
        <v>43</v>
      </c>
      <c r="H5" s="6"/>
      <c r="I5" s="6" t="str" cm="1">
        <f t="array" ref="I5">_xlfn.SWITCH(H5,"XS",1,"S",2,"M",3,"L",5,"XL",8,"XXL",13,"XXXL",21,"")</f>
        <v/>
      </c>
      <c r="J5" s="9" t="str">
        <f t="shared" si="0"/>
        <v/>
      </c>
      <c r="K5" s="66"/>
      <c r="L5" s="6" t="s">
        <v>27</v>
      </c>
      <c r="M5" s="6"/>
      <c r="N5" s="6" t="s">
        <v>8</v>
      </c>
    </row>
    <row r="6" spans="1:14" ht="28.8" x14ac:dyDescent="0.3">
      <c r="A6" s="6">
        <v>16</v>
      </c>
      <c r="B6" s="6" t="s">
        <v>88</v>
      </c>
      <c r="C6" s="6">
        <v>1.1000000000000001</v>
      </c>
      <c r="D6" s="6"/>
      <c r="E6" s="6" t="s">
        <v>42</v>
      </c>
      <c r="F6" s="7"/>
      <c r="G6" s="6" t="s">
        <v>43</v>
      </c>
      <c r="H6" s="6"/>
      <c r="I6" s="6" t="str" cm="1">
        <f t="array" ref="I6">_xlfn.SWITCH(H6,"XS",1,"S",2,"M",3,"L",5,"XL",8,"XXL",13,"XXXL",21,"")</f>
        <v/>
      </c>
      <c r="J6" s="9" t="str">
        <f t="shared" si="0"/>
        <v/>
      </c>
      <c r="K6" s="66"/>
      <c r="L6" s="6" t="s">
        <v>27</v>
      </c>
      <c r="M6" s="6"/>
      <c r="N6" s="6"/>
    </row>
    <row r="7" spans="1:14" ht="28.8" x14ac:dyDescent="0.3">
      <c r="A7" s="6">
        <v>17</v>
      </c>
      <c r="B7" s="6" t="s">
        <v>88</v>
      </c>
      <c r="C7" s="6">
        <v>1.1000000000000001</v>
      </c>
      <c r="D7" s="6"/>
      <c r="E7" s="6" t="s">
        <v>42</v>
      </c>
      <c r="F7" s="7"/>
      <c r="G7" s="6" t="s">
        <v>43</v>
      </c>
      <c r="H7" s="6"/>
      <c r="I7" s="6" t="str" cm="1">
        <f t="array" ref="I7">_xlfn.SWITCH(H7,"XS",1,"S",2,"M",3,"L",5,"XL",8,"XXL",13,"XXXL",21,"")</f>
        <v/>
      </c>
      <c r="J7" s="9" t="str">
        <f t="shared" si="0"/>
        <v/>
      </c>
      <c r="K7" s="66"/>
      <c r="L7" s="6" t="s">
        <v>27</v>
      </c>
      <c r="M7" s="6"/>
      <c r="N7" s="6"/>
    </row>
    <row r="8" spans="1:14" ht="187.2" x14ac:dyDescent="0.3">
      <c r="A8" s="9">
        <v>18</v>
      </c>
      <c r="B8" s="9" t="s">
        <v>88</v>
      </c>
      <c r="C8" s="9">
        <v>3.1</v>
      </c>
      <c r="D8" s="9" t="s">
        <v>86</v>
      </c>
      <c r="E8" s="9" t="s">
        <v>44</v>
      </c>
      <c r="F8" s="10" t="s">
        <v>89</v>
      </c>
      <c r="G8" s="9" t="s">
        <v>9</v>
      </c>
      <c r="H8" s="9" t="s">
        <v>37</v>
      </c>
      <c r="I8" s="6" cm="1">
        <f t="array" ref="I8">_xlfn.SWITCH(H8,"XS",1,"S",2,"M",3,"L",5,"XL",8,"XXL",13,"XXXL",21,"")</f>
        <v>5</v>
      </c>
      <c r="J8" s="9">
        <f t="shared" si="0"/>
        <v>5</v>
      </c>
      <c r="K8" s="66"/>
      <c r="L8" s="9" t="s">
        <v>27</v>
      </c>
      <c r="M8" s="9"/>
      <c r="N8" s="9" t="s">
        <v>8</v>
      </c>
    </row>
    <row r="9" spans="1:14" ht="86.4" x14ac:dyDescent="0.3">
      <c r="A9" s="9"/>
      <c r="B9" s="9" t="s">
        <v>88</v>
      </c>
      <c r="C9" s="9">
        <v>3.1</v>
      </c>
      <c r="D9" s="9" t="s">
        <v>86</v>
      </c>
      <c r="E9" s="9" t="s">
        <v>44</v>
      </c>
      <c r="F9" s="10" t="s">
        <v>93</v>
      </c>
      <c r="G9" s="9" t="s">
        <v>9</v>
      </c>
      <c r="H9" s="9" t="s">
        <v>32</v>
      </c>
      <c r="I9" s="6" cm="1">
        <f t="array" ref="I9">_xlfn.SWITCH(H9,"XS",1,"S",2,"M",3,"L",5,"XL",8,"XXL",13,"XXXL",21,"")</f>
        <v>2</v>
      </c>
      <c r="J9" s="9">
        <f>I9</f>
        <v>2</v>
      </c>
      <c r="K9" s="66"/>
      <c r="L9" s="9"/>
      <c r="M9" s="9"/>
      <c r="N9" s="9"/>
    </row>
    <row r="10" spans="1:14" ht="72" x14ac:dyDescent="0.3">
      <c r="A10" s="9"/>
      <c r="B10" s="9" t="s">
        <v>88</v>
      </c>
      <c r="C10" s="9">
        <v>3.1</v>
      </c>
      <c r="D10" s="9" t="s">
        <v>87</v>
      </c>
      <c r="E10" s="9" t="s">
        <v>44</v>
      </c>
      <c r="F10" s="10" t="s">
        <v>94</v>
      </c>
      <c r="G10" s="9" t="s">
        <v>9</v>
      </c>
      <c r="H10" s="9" t="s">
        <v>32</v>
      </c>
      <c r="I10" s="6" cm="1">
        <f t="array" ref="I10">_xlfn.SWITCH(H10,"XS",1,"S",2,"M",3,"L",5,"XL",8,"XXL",13,"XXXL",21,"")</f>
        <v>2</v>
      </c>
      <c r="J10" s="9">
        <f t="shared" si="0"/>
        <v>2</v>
      </c>
      <c r="K10" s="66"/>
      <c r="L10" s="9"/>
      <c r="M10" s="9"/>
      <c r="N10" s="9"/>
    </row>
    <row r="11" spans="1:14" ht="86.4" x14ac:dyDescent="0.3">
      <c r="A11" s="9"/>
      <c r="B11" s="9" t="s">
        <v>88</v>
      </c>
      <c r="C11" s="9">
        <v>3.1</v>
      </c>
      <c r="D11" s="9" t="s">
        <v>87</v>
      </c>
      <c r="E11" s="9" t="s">
        <v>44</v>
      </c>
      <c r="F11" s="10" t="s">
        <v>95</v>
      </c>
      <c r="G11" s="9" t="s">
        <v>9</v>
      </c>
      <c r="H11" s="9" t="s">
        <v>32</v>
      </c>
      <c r="I11" s="6" cm="1">
        <f t="array" ref="I11">_xlfn.SWITCH(H11,"XS",1,"S",2,"M",3,"L",5,"XL",8,"XXL",13,"XXXL",21,"")</f>
        <v>2</v>
      </c>
      <c r="J11" s="9">
        <f t="shared" si="0"/>
        <v>2</v>
      </c>
      <c r="K11" s="67"/>
      <c r="L11" s="9"/>
      <c r="M11" s="9"/>
      <c r="N11" s="9"/>
    </row>
    <row r="12" spans="1:14" ht="57.6" x14ac:dyDescent="0.3">
      <c r="A12" s="9"/>
      <c r="B12" s="9"/>
      <c r="C12" s="9"/>
      <c r="D12" s="9" t="s">
        <v>87</v>
      </c>
      <c r="E12" s="9" t="s">
        <v>44</v>
      </c>
      <c r="F12" s="10" t="s">
        <v>92</v>
      </c>
      <c r="G12" s="9" t="s">
        <v>9</v>
      </c>
      <c r="H12" s="9" t="s">
        <v>32</v>
      </c>
      <c r="I12" s="6" cm="1">
        <f t="array" ref="I12">_xlfn.SWITCH(H12,"XS",1,"S",2,"M",3,"L",5,"XL",8,"XXL",13,"XXXL",21,"")</f>
        <v>2</v>
      </c>
      <c r="J12" s="9">
        <f t="shared" si="0"/>
        <v>2</v>
      </c>
      <c r="K12" s="42"/>
      <c r="L12" s="9"/>
      <c r="M12" s="9"/>
      <c r="N12" s="9"/>
    </row>
    <row r="13" spans="1:14" ht="115.2" x14ac:dyDescent="0.3">
      <c r="A13" s="9"/>
      <c r="B13" s="9" t="s">
        <v>88</v>
      </c>
      <c r="C13" s="9">
        <v>3.1</v>
      </c>
      <c r="D13" s="9" t="s">
        <v>87</v>
      </c>
      <c r="E13" s="9" t="s">
        <v>44</v>
      </c>
      <c r="F13" s="10" t="s">
        <v>96</v>
      </c>
      <c r="G13" s="9" t="s">
        <v>9</v>
      </c>
      <c r="H13" s="9" t="s">
        <v>33</v>
      </c>
      <c r="I13" s="6" cm="1">
        <f t="array" ref="I13">_xlfn.SWITCH(H13,"XS",1,"S",2,"M",3,"L",5,"XL",8,"XXL",13,"XXXL",21,"")</f>
        <v>3</v>
      </c>
      <c r="J13" s="9">
        <f t="shared" si="0"/>
        <v>3</v>
      </c>
      <c r="K13" s="42"/>
      <c r="L13" s="9"/>
      <c r="M13" s="9"/>
      <c r="N13" s="9"/>
    </row>
    <row r="14" spans="1:14" ht="28.8" x14ac:dyDescent="0.3">
      <c r="A14" s="11">
        <v>20</v>
      </c>
      <c r="B14" s="11" t="s">
        <v>88</v>
      </c>
      <c r="C14" s="11">
        <v>3.2</v>
      </c>
      <c r="D14" s="11"/>
      <c r="E14" s="11" t="s">
        <v>42</v>
      </c>
      <c r="F14" s="14"/>
      <c r="G14" s="11" t="s">
        <v>43</v>
      </c>
      <c r="H14" s="11"/>
      <c r="I14" s="11" t="str" cm="1">
        <f t="array" ref="I14">_xlfn.SWITCH(H14,"XS",1,"S",2,"M",3,"L",5,"XL",8,"XXL",13,"XXXL",21,"")</f>
        <v/>
      </c>
      <c r="J14" s="11" t="str">
        <f t="shared" si="0"/>
        <v/>
      </c>
      <c r="K14" s="68"/>
      <c r="L14" s="11" t="s">
        <v>27</v>
      </c>
      <c r="M14" s="11"/>
      <c r="N14" s="11" t="s">
        <v>8</v>
      </c>
    </row>
    <row r="15" spans="1:14" ht="28.8" x14ac:dyDescent="0.3">
      <c r="A15" s="11">
        <v>21</v>
      </c>
      <c r="B15" s="11" t="s">
        <v>88</v>
      </c>
      <c r="C15" s="11">
        <v>3.2</v>
      </c>
      <c r="D15" s="11"/>
      <c r="E15" s="11" t="s">
        <v>42</v>
      </c>
      <c r="F15" s="14"/>
      <c r="G15" s="11" t="s">
        <v>43</v>
      </c>
      <c r="H15" s="11"/>
      <c r="I15" s="11" t="str" cm="1">
        <f t="array" ref="I15">_xlfn.SWITCH(H15,"XS",1,"S",2,"M",3,"L",5,"XL",8,"XXL",13,"XXXL",21,"")</f>
        <v/>
      </c>
      <c r="J15" s="11" t="str">
        <f t="shared" si="0"/>
        <v/>
      </c>
      <c r="K15" s="69"/>
      <c r="L15" s="11" t="s">
        <v>27</v>
      </c>
      <c r="M15" s="11"/>
      <c r="N15" s="11" t="s">
        <v>8</v>
      </c>
    </row>
    <row r="16" spans="1:14" ht="28.8" x14ac:dyDescent="0.3">
      <c r="A16" s="11">
        <v>22</v>
      </c>
      <c r="B16" s="11" t="s">
        <v>88</v>
      </c>
      <c r="C16" s="11">
        <v>3.2</v>
      </c>
      <c r="D16" s="11"/>
      <c r="E16" s="11" t="s">
        <v>42</v>
      </c>
      <c r="F16" s="14"/>
      <c r="G16" s="11" t="s">
        <v>43</v>
      </c>
      <c r="H16" s="11"/>
      <c r="I16" s="11" t="str" cm="1">
        <f t="array" ref="I16">_xlfn.SWITCH(H16,"XS",1,"S",2,"M",3,"L",5,"XL",8,"XXL",13,"XXXL",21,"")</f>
        <v/>
      </c>
      <c r="J16" s="11" t="str">
        <f t="shared" si="0"/>
        <v/>
      </c>
      <c r="K16" s="69"/>
      <c r="L16" s="11" t="s">
        <v>27</v>
      </c>
      <c r="M16" s="11"/>
      <c r="N16" s="11" t="s">
        <v>8</v>
      </c>
    </row>
    <row r="17" spans="1:14" ht="28.8" x14ac:dyDescent="0.3">
      <c r="A17" s="11">
        <v>23</v>
      </c>
      <c r="B17" s="11" t="s">
        <v>88</v>
      </c>
      <c r="C17" s="11">
        <v>3.2</v>
      </c>
      <c r="D17" s="11"/>
      <c r="E17" s="11" t="s">
        <v>42</v>
      </c>
      <c r="F17" s="14"/>
      <c r="G17" s="11" t="s">
        <v>43</v>
      </c>
      <c r="H17" s="11"/>
      <c r="I17" s="11" t="str" cm="1">
        <f t="array" ref="I17">_xlfn.SWITCH(H17,"XS",1,"S",2,"M",3,"L",5,"XL",8,"XXL",13,"XXXL",21,"")</f>
        <v/>
      </c>
      <c r="J17" s="11" t="str">
        <f t="shared" si="0"/>
        <v/>
      </c>
      <c r="K17" s="69"/>
      <c r="L17" s="11" t="s">
        <v>27</v>
      </c>
      <c r="M17" s="11"/>
      <c r="N17" s="11" t="s">
        <v>8</v>
      </c>
    </row>
    <row r="18" spans="1:14" ht="28.8" x14ac:dyDescent="0.3">
      <c r="A18" s="11">
        <v>24</v>
      </c>
      <c r="B18" s="11" t="s">
        <v>88</v>
      </c>
      <c r="C18" s="11">
        <v>3.2</v>
      </c>
      <c r="D18" s="11"/>
      <c r="E18" s="11" t="s">
        <v>42</v>
      </c>
      <c r="F18" s="15"/>
      <c r="G18" s="11" t="s">
        <v>43</v>
      </c>
      <c r="H18" s="11"/>
      <c r="I18" s="11" t="str" cm="1">
        <f t="array" ref="I18">_xlfn.SWITCH(H18,"XS",1,"S",2,"M",3,"L",5,"XL",8,"XXL",13,"XXXL",21,"")</f>
        <v/>
      </c>
      <c r="J18" s="11" t="str">
        <f t="shared" si="0"/>
        <v/>
      </c>
      <c r="K18" s="69"/>
      <c r="L18" s="11" t="s">
        <v>27</v>
      </c>
      <c r="M18" s="11"/>
      <c r="N18" s="11" t="s">
        <v>8</v>
      </c>
    </row>
    <row r="19" spans="1:14" ht="28.8" x14ac:dyDescent="0.3">
      <c r="A19" s="11">
        <v>25</v>
      </c>
      <c r="B19" s="11" t="s">
        <v>88</v>
      </c>
      <c r="C19" s="11">
        <v>3.2</v>
      </c>
      <c r="D19" s="11"/>
      <c r="E19" s="11" t="s">
        <v>42</v>
      </c>
      <c r="F19" s="15"/>
      <c r="G19" s="11" t="s">
        <v>43</v>
      </c>
      <c r="H19" s="11"/>
      <c r="I19" s="11" t="str" cm="1">
        <f t="array" ref="I19">_xlfn.SWITCH(H19,"XS",1,"S",2,"M",3,"L",5,"XL",8,"XXL",13,"XXXL",21,"")</f>
        <v/>
      </c>
      <c r="J19" s="11" t="str">
        <f t="shared" si="0"/>
        <v/>
      </c>
      <c r="K19" s="69"/>
      <c r="L19" s="11" t="s">
        <v>27</v>
      </c>
      <c r="M19" s="11"/>
      <c r="N19" s="11" t="s">
        <v>8</v>
      </c>
    </row>
    <row r="20" spans="1:14" ht="28.8" x14ac:dyDescent="0.3">
      <c r="A20" s="11">
        <v>26</v>
      </c>
      <c r="B20" s="11" t="s">
        <v>88</v>
      </c>
      <c r="C20" s="11">
        <v>3.2</v>
      </c>
      <c r="D20" s="11"/>
      <c r="E20" s="11" t="s">
        <v>42</v>
      </c>
      <c r="F20" s="15"/>
      <c r="G20" s="11" t="s">
        <v>43</v>
      </c>
      <c r="H20" s="11"/>
      <c r="I20" s="11" t="str" cm="1">
        <f t="array" ref="I20">_xlfn.SWITCH(H20,"XS",1,"S",2,"M",3,"L",5,"XL",8,"XXL",13,"XXXL",21,"")</f>
        <v/>
      </c>
      <c r="J20" s="11" t="str">
        <f t="shared" si="0"/>
        <v/>
      </c>
      <c r="K20" s="69"/>
      <c r="L20" s="11" t="s">
        <v>27</v>
      </c>
      <c r="M20" s="11"/>
      <c r="N20" s="11" t="s">
        <v>8</v>
      </c>
    </row>
    <row r="21" spans="1:14" ht="28.8" x14ac:dyDescent="0.3">
      <c r="A21" s="11">
        <v>29</v>
      </c>
      <c r="B21" s="11" t="s">
        <v>88</v>
      </c>
      <c r="C21" s="11">
        <v>3.2</v>
      </c>
      <c r="D21" s="11"/>
      <c r="E21" s="11" t="s">
        <v>42</v>
      </c>
      <c r="F21" s="15"/>
      <c r="G21" s="11" t="s">
        <v>43</v>
      </c>
      <c r="H21" s="11"/>
      <c r="I21" s="11" t="str" cm="1">
        <f t="array" ref="I21">_xlfn.SWITCH(H21,"XS",1,"S",2,"M",3,"L",5,"XL",8,"XXL",13,"XXXL",21,"")</f>
        <v/>
      </c>
      <c r="J21" s="11" t="str">
        <f t="shared" si="0"/>
        <v/>
      </c>
      <c r="K21" s="69"/>
      <c r="L21" s="11" t="s">
        <v>27</v>
      </c>
      <c r="M21" s="11"/>
      <c r="N21" s="11" t="s">
        <v>8</v>
      </c>
    </row>
    <row r="22" spans="1:14" ht="57.6" x14ac:dyDescent="0.3">
      <c r="A22" s="12">
        <v>32</v>
      </c>
      <c r="B22" s="12" t="s">
        <v>88</v>
      </c>
      <c r="C22" s="12">
        <v>3.2</v>
      </c>
      <c r="D22" s="12" t="s">
        <v>97</v>
      </c>
      <c r="E22" s="12" t="s">
        <v>44</v>
      </c>
      <c r="F22" s="13" t="s">
        <v>90</v>
      </c>
      <c r="G22" s="12" t="s">
        <v>9</v>
      </c>
      <c r="H22" s="12" t="s">
        <v>39</v>
      </c>
      <c r="I22" s="12" cm="1">
        <f t="array" ref="I22">_xlfn.SWITCH(H22,"XS",1,"S",2,"M",3,"L",5,"XL",8,"XXL",13,"XXXL",21,"")</f>
        <v>1</v>
      </c>
      <c r="J22" s="12">
        <f t="shared" si="0"/>
        <v>1</v>
      </c>
      <c r="K22" s="70"/>
      <c r="L22" s="12" t="s">
        <v>27</v>
      </c>
      <c r="M22" s="12"/>
      <c r="N22" s="12" t="s">
        <v>8</v>
      </c>
    </row>
    <row r="23" spans="1:14" ht="158.4" x14ac:dyDescent="0.3">
      <c r="A23" s="12"/>
      <c r="B23" s="12" t="s">
        <v>88</v>
      </c>
      <c r="C23" s="12">
        <v>3.2</v>
      </c>
      <c r="D23" s="12" t="s">
        <v>97</v>
      </c>
      <c r="E23" s="12" t="s">
        <v>44</v>
      </c>
      <c r="F23" s="13" t="s">
        <v>98</v>
      </c>
      <c r="G23" s="12" t="s">
        <v>9</v>
      </c>
      <c r="H23" s="12" t="s">
        <v>39</v>
      </c>
      <c r="I23" s="12" cm="1">
        <f t="array" ref="I23">_xlfn.SWITCH(H23,"XS",1,"S",2,"M",3,"L",5,"XL",8,"XXL",13,"XXXL",21,"")</f>
        <v>1</v>
      </c>
      <c r="J23" s="12">
        <f t="shared" si="0"/>
        <v>1</v>
      </c>
      <c r="K23" s="43"/>
      <c r="L23" s="12"/>
      <c r="M23" s="12"/>
      <c r="N23" s="12"/>
    </row>
    <row r="24" spans="1:14" ht="86.4" x14ac:dyDescent="0.3">
      <c r="A24" s="12"/>
      <c r="B24" s="12"/>
      <c r="C24" s="12"/>
      <c r="D24" s="12"/>
      <c r="E24" s="12"/>
      <c r="F24" s="13" t="s">
        <v>99</v>
      </c>
      <c r="G24" s="12"/>
      <c r="H24" s="12"/>
      <c r="I24" s="12"/>
      <c r="J24" s="12"/>
      <c r="K24" s="43"/>
      <c r="L24" s="12"/>
      <c r="M24" s="12"/>
      <c r="N24" s="12"/>
    </row>
    <row r="25" spans="1:14" x14ac:dyDescent="0.3">
      <c r="A25" s="17">
        <v>33</v>
      </c>
      <c r="B25" s="17" t="s">
        <v>7</v>
      </c>
      <c r="C25" s="17">
        <v>1.3</v>
      </c>
      <c r="D25" s="17" t="s">
        <v>47</v>
      </c>
      <c r="E25" s="17" t="s">
        <v>42</v>
      </c>
      <c r="F25" s="18"/>
      <c r="G25" s="17" t="s">
        <v>9</v>
      </c>
      <c r="H25" s="17" t="s">
        <v>33</v>
      </c>
      <c r="I25" s="17" cm="1">
        <f t="array" ref="I25">_xlfn.SWITCH(H25,"XS",1,"S",2,"M",3,"L",5,"XL",8,"XXL",13,"XXXL",21,"")</f>
        <v>3</v>
      </c>
      <c r="J25" s="17">
        <f t="shared" si="0"/>
        <v>3</v>
      </c>
      <c r="K25" s="62"/>
      <c r="L25" s="17" t="s">
        <v>27</v>
      </c>
      <c r="M25" s="17"/>
      <c r="N25" s="17" t="s">
        <v>8</v>
      </c>
    </row>
    <row r="26" spans="1:14" x14ac:dyDescent="0.3">
      <c r="A26" s="17">
        <v>34</v>
      </c>
      <c r="B26" s="17" t="s">
        <v>7</v>
      </c>
      <c r="C26" s="17">
        <v>1.3</v>
      </c>
      <c r="D26" s="17" t="s">
        <v>47</v>
      </c>
      <c r="E26" s="17" t="s">
        <v>42</v>
      </c>
      <c r="F26" s="18"/>
      <c r="G26" s="17" t="s">
        <v>43</v>
      </c>
      <c r="H26" s="17" t="s">
        <v>39</v>
      </c>
      <c r="I26" s="17" cm="1">
        <f t="array" ref="I26">_xlfn.SWITCH(H26,"XS",1,"S",2,"M",3,"L",5,"XL",8,"XXL",13,"XXXL",21,"")</f>
        <v>1</v>
      </c>
      <c r="J26" s="17">
        <f t="shared" si="0"/>
        <v>1</v>
      </c>
      <c r="K26" s="63"/>
      <c r="L26" s="17" t="s">
        <v>27</v>
      </c>
      <c r="M26" s="17"/>
      <c r="N26" s="17" t="s">
        <v>8</v>
      </c>
    </row>
    <row r="27" spans="1:14" x14ac:dyDescent="0.3">
      <c r="A27" s="17">
        <v>36</v>
      </c>
      <c r="B27" s="17" t="s">
        <v>7</v>
      </c>
      <c r="C27" s="17">
        <v>1.3</v>
      </c>
      <c r="D27" s="17" t="s">
        <v>47</v>
      </c>
      <c r="E27" s="17" t="s">
        <v>42</v>
      </c>
      <c r="F27" s="18"/>
      <c r="G27" s="17" t="s">
        <v>43</v>
      </c>
      <c r="H27" s="17" t="s">
        <v>32</v>
      </c>
      <c r="I27" s="17" cm="1">
        <f t="array" ref="I27">_xlfn.SWITCH(H27,"XS",1,"S",2,"M",3,"L",5,"XL",8,"XXL",13,"XXXL",21,"")</f>
        <v>2</v>
      </c>
      <c r="J27" s="17">
        <f t="shared" si="0"/>
        <v>2</v>
      </c>
      <c r="K27" s="63"/>
      <c r="L27" s="17" t="s">
        <v>27</v>
      </c>
      <c r="M27" s="17"/>
      <c r="N27" s="17" t="s">
        <v>8</v>
      </c>
    </row>
    <row r="28" spans="1:14" x14ac:dyDescent="0.3">
      <c r="A28" s="17">
        <v>38</v>
      </c>
      <c r="B28" s="17" t="s">
        <v>7</v>
      </c>
      <c r="C28" s="17">
        <v>1.3</v>
      </c>
      <c r="D28" s="17" t="s">
        <v>47</v>
      </c>
      <c r="E28" s="17" t="s">
        <v>42</v>
      </c>
      <c r="F28" s="18"/>
      <c r="G28" s="17" t="s">
        <v>43</v>
      </c>
      <c r="H28" s="17" t="s">
        <v>39</v>
      </c>
      <c r="I28" s="17" cm="1">
        <f t="array" ref="I28">_xlfn.SWITCH(H28,"XS",1,"S",2,"M",3,"L",5,"XL",8,"XXL",13,"XXXL",21,"")</f>
        <v>1</v>
      </c>
      <c r="J28" s="17">
        <f t="shared" si="0"/>
        <v>1</v>
      </c>
      <c r="K28" s="63"/>
      <c r="L28" s="17" t="s">
        <v>27</v>
      </c>
      <c r="M28" s="17"/>
      <c r="N28" s="17" t="s">
        <v>8</v>
      </c>
    </row>
    <row r="29" spans="1:14" x14ac:dyDescent="0.3">
      <c r="A29" s="17">
        <v>39</v>
      </c>
      <c r="B29" s="17" t="s">
        <v>7</v>
      </c>
      <c r="C29" s="17">
        <v>1.3</v>
      </c>
      <c r="D29" s="17" t="s">
        <v>47</v>
      </c>
      <c r="E29" s="17" t="s">
        <v>42</v>
      </c>
      <c r="F29" s="18"/>
      <c r="G29" s="17" t="s">
        <v>43</v>
      </c>
      <c r="H29" s="17" t="s">
        <v>32</v>
      </c>
      <c r="I29" s="17" cm="1">
        <f t="array" ref="I29">_xlfn.SWITCH(H29,"XS",1,"S",2,"M",3,"L",5,"XL",8,"XXL",13,"XXXL",21,"")</f>
        <v>2</v>
      </c>
      <c r="J29" s="17">
        <f t="shared" si="0"/>
        <v>2</v>
      </c>
      <c r="K29" s="63"/>
      <c r="L29" s="17" t="s">
        <v>27</v>
      </c>
      <c r="M29" s="17"/>
      <c r="N29" s="17" t="s">
        <v>8</v>
      </c>
    </row>
    <row r="30" spans="1:14" x14ac:dyDescent="0.3">
      <c r="A30" s="19">
        <v>40</v>
      </c>
      <c r="B30" s="19" t="s">
        <v>7</v>
      </c>
      <c r="C30" s="19">
        <v>1.3</v>
      </c>
      <c r="D30" s="19" t="s">
        <v>47</v>
      </c>
      <c r="E30" s="19" t="s">
        <v>44</v>
      </c>
      <c r="F30" s="20"/>
      <c r="G30" s="53" t="s">
        <v>9</v>
      </c>
      <c r="H30" s="53" t="s">
        <v>37</v>
      </c>
      <c r="I30" s="53" cm="1">
        <f t="array" ref="I30">_xlfn.SWITCH(H30,"XS",1,"S",2,"M",3,"L",5,"XL",8,"XXL",13,"XXXL",21,"")</f>
        <v>5</v>
      </c>
      <c r="J30" s="53">
        <f t="shared" si="0"/>
        <v>5</v>
      </c>
      <c r="K30" s="63"/>
      <c r="L30" s="19" t="s">
        <v>27</v>
      </c>
      <c r="M30" s="19"/>
      <c r="N30" s="19" t="s">
        <v>8</v>
      </c>
    </row>
    <row r="31" spans="1:14" x14ac:dyDescent="0.3">
      <c r="A31" s="19">
        <v>41</v>
      </c>
      <c r="B31" s="19" t="s">
        <v>7</v>
      </c>
      <c r="C31" s="19">
        <v>1.3</v>
      </c>
      <c r="D31" s="19" t="s">
        <v>47</v>
      </c>
      <c r="E31" s="19" t="s">
        <v>44</v>
      </c>
      <c r="F31" s="20"/>
      <c r="G31" s="54"/>
      <c r="H31" s="54"/>
      <c r="I31" s="54"/>
      <c r="J31" s="54"/>
      <c r="K31" s="63"/>
      <c r="L31" s="19" t="s">
        <v>27</v>
      </c>
      <c r="M31" s="19"/>
      <c r="N31" s="19" t="s">
        <v>8</v>
      </c>
    </row>
    <row r="32" spans="1:14" x14ac:dyDescent="0.3">
      <c r="A32" s="19">
        <v>43</v>
      </c>
      <c r="B32" s="19" t="s">
        <v>7</v>
      </c>
      <c r="C32" s="19">
        <v>1.3</v>
      </c>
      <c r="D32" s="19" t="s">
        <v>47</v>
      </c>
      <c r="E32" s="19" t="s">
        <v>44</v>
      </c>
      <c r="F32" s="20"/>
      <c r="G32" s="54"/>
      <c r="H32" s="54"/>
      <c r="I32" s="54"/>
      <c r="J32" s="54"/>
      <c r="K32" s="63"/>
      <c r="L32" s="19" t="s">
        <v>27</v>
      </c>
      <c r="M32" s="19"/>
      <c r="N32" s="19" t="s">
        <v>8</v>
      </c>
    </row>
    <row r="33" spans="1:14" x14ac:dyDescent="0.3">
      <c r="A33" s="19">
        <v>44</v>
      </c>
      <c r="B33" s="19" t="s">
        <v>7</v>
      </c>
      <c r="C33" s="19">
        <v>1.3</v>
      </c>
      <c r="D33" s="19" t="s">
        <v>47</v>
      </c>
      <c r="E33" s="19" t="s">
        <v>44</v>
      </c>
      <c r="F33" s="20"/>
      <c r="G33" s="54"/>
      <c r="H33" s="54"/>
      <c r="I33" s="54"/>
      <c r="J33" s="54"/>
      <c r="K33" s="63"/>
      <c r="L33" s="19" t="s">
        <v>27</v>
      </c>
      <c r="M33" s="19"/>
      <c r="N33" s="19" t="s">
        <v>8</v>
      </c>
    </row>
    <row r="34" spans="1:14" x14ac:dyDescent="0.3">
      <c r="A34" s="19">
        <v>45</v>
      </c>
      <c r="B34" s="19" t="s">
        <v>7</v>
      </c>
      <c r="C34" s="19">
        <v>1.3</v>
      </c>
      <c r="D34" s="19" t="s">
        <v>47</v>
      </c>
      <c r="E34" s="19" t="s">
        <v>44</v>
      </c>
      <c r="F34" s="20"/>
      <c r="G34" s="54"/>
      <c r="H34" s="54"/>
      <c r="I34" s="54"/>
      <c r="J34" s="54"/>
      <c r="K34" s="63"/>
      <c r="L34" s="19" t="s">
        <v>27</v>
      </c>
      <c r="M34" s="19"/>
      <c r="N34" s="19" t="s">
        <v>8</v>
      </c>
    </row>
    <row r="35" spans="1:14" x14ac:dyDescent="0.3">
      <c r="A35" s="19">
        <v>46</v>
      </c>
      <c r="B35" s="19" t="s">
        <v>7</v>
      </c>
      <c r="C35" s="19">
        <v>1.3</v>
      </c>
      <c r="D35" s="19" t="s">
        <v>47</v>
      </c>
      <c r="E35" s="19" t="s">
        <v>44</v>
      </c>
      <c r="F35" s="20"/>
      <c r="G35" s="54"/>
      <c r="H35" s="54"/>
      <c r="I35" s="54"/>
      <c r="J35" s="54"/>
      <c r="K35" s="63"/>
      <c r="L35" s="19" t="s">
        <v>27</v>
      </c>
      <c r="M35" s="19"/>
      <c r="N35" s="19" t="s">
        <v>8</v>
      </c>
    </row>
    <row r="36" spans="1:14" x14ac:dyDescent="0.3">
      <c r="A36" s="19">
        <v>47</v>
      </c>
      <c r="B36" s="19" t="s">
        <v>7</v>
      </c>
      <c r="C36" s="19">
        <v>1.3</v>
      </c>
      <c r="D36" s="19" t="s">
        <v>47</v>
      </c>
      <c r="E36" s="19" t="s">
        <v>44</v>
      </c>
      <c r="F36" s="20"/>
      <c r="G36" s="54"/>
      <c r="H36" s="54"/>
      <c r="I36" s="54"/>
      <c r="J36" s="54"/>
      <c r="K36" s="63"/>
      <c r="L36" s="19" t="s">
        <v>27</v>
      </c>
      <c r="M36" s="19"/>
      <c r="N36" s="19" t="s">
        <v>8</v>
      </c>
    </row>
    <row r="37" spans="1:14" x14ac:dyDescent="0.3">
      <c r="A37" s="19">
        <v>48</v>
      </c>
      <c r="B37" s="19" t="s">
        <v>7</v>
      </c>
      <c r="C37" s="19">
        <v>1.3</v>
      </c>
      <c r="D37" s="19" t="s">
        <v>47</v>
      </c>
      <c r="E37" s="19" t="s">
        <v>44</v>
      </c>
      <c r="F37" s="20" t="s">
        <v>91</v>
      </c>
      <c r="G37" s="55"/>
      <c r="H37" s="55"/>
      <c r="I37" s="55"/>
      <c r="J37" s="55"/>
      <c r="K37" s="64"/>
      <c r="L37" s="19" t="s">
        <v>27</v>
      </c>
      <c r="M37" s="19"/>
      <c r="N37" s="19" t="s">
        <v>8</v>
      </c>
    </row>
    <row r="38" spans="1:14" ht="43.2" x14ac:dyDescent="0.3">
      <c r="A38" s="21">
        <v>49</v>
      </c>
      <c r="B38" s="21"/>
      <c r="C38" s="21">
        <v>1.4</v>
      </c>
      <c r="D38" s="21" t="s">
        <v>48</v>
      </c>
      <c r="E38" s="21" t="s">
        <v>42</v>
      </c>
      <c r="F38" s="22" t="s">
        <v>58</v>
      </c>
      <c r="G38" s="50" t="s">
        <v>43</v>
      </c>
      <c r="H38" s="50" t="s">
        <v>32</v>
      </c>
      <c r="I38" s="50" cm="1">
        <f t="array" ref="I38">_xlfn.SWITCH(H38,"XS",1,"S",2,"M",3,"L",5,"XL",8,"XXL",13,"XXXL",21,"")</f>
        <v>2</v>
      </c>
      <c r="J38" s="50">
        <f t="shared" si="0"/>
        <v>2</v>
      </c>
      <c r="K38" s="50"/>
      <c r="L38" s="21" t="s">
        <v>27</v>
      </c>
      <c r="M38" s="21"/>
      <c r="N38" s="21" t="s">
        <v>8</v>
      </c>
    </row>
    <row r="39" spans="1:14" ht="43.2" x14ac:dyDescent="0.3">
      <c r="A39" s="21">
        <v>50</v>
      </c>
      <c r="B39" s="21"/>
      <c r="C39" s="21">
        <v>1.4</v>
      </c>
      <c r="D39" s="21" t="s">
        <v>48</v>
      </c>
      <c r="E39" s="21" t="s">
        <v>42</v>
      </c>
      <c r="F39" s="22" t="s">
        <v>59</v>
      </c>
      <c r="G39" s="51"/>
      <c r="H39" s="51"/>
      <c r="I39" s="51"/>
      <c r="J39" s="51"/>
      <c r="K39" s="51"/>
      <c r="L39" s="21" t="s">
        <v>27</v>
      </c>
      <c r="M39" s="21"/>
      <c r="N39" s="21" t="s">
        <v>8</v>
      </c>
    </row>
    <row r="40" spans="1:14" ht="28.8" x14ac:dyDescent="0.3">
      <c r="A40" s="21">
        <v>51</v>
      </c>
      <c r="B40" s="21"/>
      <c r="C40" s="21">
        <v>1.4</v>
      </c>
      <c r="D40" s="21" t="s">
        <v>48</v>
      </c>
      <c r="E40" s="21" t="s">
        <v>42</v>
      </c>
      <c r="F40" s="22" t="s">
        <v>50</v>
      </c>
      <c r="G40" s="51"/>
      <c r="H40" s="51"/>
      <c r="I40" s="51"/>
      <c r="J40" s="51"/>
      <c r="K40" s="51"/>
      <c r="L40" s="21" t="s">
        <v>27</v>
      </c>
      <c r="M40" s="21"/>
      <c r="N40" s="21" t="s">
        <v>8</v>
      </c>
    </row>
    <row r="41" spans="1:14" ht="43.2" x14ac:dyDescent="0.3">
      <c r="A41" s="21">
        <v>52</v>
      </c>
      <c r="B41" s="21"/>
      <c r="C41" s="21">
        <v>1.4</v>
      </c>
      <c r="D41" s="21" t="s">
        <v>48</v>
      </c>
      <c r="E41" s="21" t="s">
        <v>42</v>
      </c>
      <c r="F41" s="22" t="s">
        <v>51</v>
      </c>
      <c r="G41" s="52"/>
      <c r="H41" s="52"/>
      <c r="I41" s="52"/>
      <c r="J41" s="52"/>
      <c r="K41" s="51"/>
      <c r="L41" s="21" t="s">
        <v>27</v>
      </c>
      <c r="M41" s="21"/>
      <c r="N41" s="21" t="s">
        <v>8</v>
      </c>
    </row>
    <row r="42" spans="1:14" ht="72" x14ac:dyDescent="0.3">
      <c r="A42" s="23">
        <v>53</v>
      </c>
      <c r="B42" s="23"/>
      <c r="C42" s="23">
        <v>1.4</v>
      </c>
      <c r="D42" s="23" t="s">
        <v>48</v>
      </c>
      <c r="E42" s="23" t="s">
        <v>44</v>
      </c>
      <c r="F42" s="24" t="s">
        <v>60</v>
      </c>
      <c r="G42" s="44" t="s">
        <v>9</v>
      </c>
      <c r="H42" s="44" t="s">
        <v>33</v>
      </c>
      <c r="I42" s="44" cm="1">
        <f t="array" ref="I42">_xlfn.SWITCH(H42,"XS",1,"S",2,"M",3,"L",5,"XL",8,"XXL",13,"XXXL",21,"")</f>
        <v>3</v>
      </c>
      <c r="J42" s="44">
        <f t="shared" si="0"/>
        <v>3</v>
      </c>
      <c r="K42" s="51"/>
      <c r="L42" s="23" t="s">
        <v>27</v>
      </c>
      <c r="M42" s="23"/>
      <c r="N42" s="23" t="s">
        <v>8</v>
      </c>
    </row>
    <row r="43" spans="1:14" ht="72" x14ac:dyDescent="0.3">
      <c r="A43" s="23">
        <v>54</v>
      </c>
      <c r="B43" s="23"/>
      <c r="C43" s="23">
        <v>1.4</v>
      </c>
      <c r="D43" s="23" t="s">
        <v>48</v>
      </c>
      <c r="E43" s="23" t="s">
        <v>44</v>
      </c>
      <c r="F43" s="24" t="s">
        <v>61</v>
      </c>
      <c r="G43" s="45"/>
      <c r="H43" s="45"/>
      <c r="I43" s="45"/>
      <c r="J43" s="45"/>
      <c r="K43" s="51"/>
      <c r="L43" s="23" t="s">
        <v>27</v>
      </c>
      <c r="M43" s="23"/>
      <c r="N43" s="23" t="s">
        <v>8</v>
      </c>
    </row>
    <row r="44" spans="1:14" ht="28.8" x14ac:dyDescent="0.3">
      <c r="A44" s="23">
        <v>55</v>
      </c>
      <c r="B44" s="23"/>
      <c r="C44" s="23">
        <v>1.4</v>
      </c>
      <c r="D44" s="23" t="s">
        <v>48</v>
      </c>
      <c r="E44" s="23" t="s">
        <v>44</v>
      </c>
      <c r="F44" s="24" t="s">
        <v>49</v>
      </c>
      <c r="G44" s="45"/>
      <c r="H44" s="45"/>
      <c r="I44" s="45"/>
      <c r="J44" s="45"/>
      <c r="K44" s="51"/>
      <c r="L44" s="23" t="s">
        <v>27</v>
      </c>
      <c r="M44" s="23"/>
      <c r="N44" s="23" t="s">
        <v>8</v>
      </c>
    </row>
    <row r="45" spans="1:14" ht="43.2" x14ac:dyDescent="0.3">
      <c r="A45" s="23">
        <v>56</v>
      </c>
      <c r="B45" s="23" t="s">
        <v>7</v>
      </c>
      <c r="C45" s="23">
        <v>1.4</v>
      </c>
      <c r="D45" s="23" t="s">
        <v>48</v>
      </c>
      <c r="E45" s="23" t="s">
        <v>44</v>
      </c>
      <c r="F45" s="25" t="s">
        <v>53</v>
      </c>
      <c r="G45" s="46"/>
      <c r="H45" s="46"/>
      <c r="I45" s="46"/>
      <c r="J45" s="46"/>
      <c r="K45" s="52"/>
      <c r="L45" s="23" t="s">
        <v>27</v>
      </c>
      <c r="M45" s="23"/>
      <c r="N45" s="23" t="s">
        <v>8</v>
      </c>
    </row>
    <row r="46" spans="1:14" ht="43.2" x14ac:dyDescent="0.3">
      <c r="A46" s="28">
        <v>57</v>
      </c>
      <c r="B46" s="28"/>
      <c r="C46" s="28">
        <v>1.5</v>
      </c>
      <c r="D46" s="28" t="s">
        <v>52</v>
      </c>
      <c r="E46" s="28" t="s">
        <v>42</v>
      </c>
      <c r="F46" s="29" t="s">
        <v>56</v>
      </c>
      <c r="G46" s="47" t="s">
        <v>43</v>
      </c>
      <c r="H46" s="47" t="s">
        <v>33</v>
      </c>
      <c r="I46" s="47" cm="1">
        <f t="array" ref="I46">_xlfn.SWITCH(H46,"XS",1,"S",2,"M",3,"L",5,"XL",8,"XXL",13,"XXXL",21,"")</f>
        <v>3</v>
      </c>
      <c r="J46" s="47">
        <f t="shared" si="0"/>
        <v>3</v>
      </c>
      <c r="K46" s="47"/>
      <c r="L46" s="28" t="s">
        <v>27</v>
      </c>
      <c r="M46" s="28"/>
      <c r="N46" s="28" t="s">
        <v>8</v>
      </c>
    </row>
    <row r="47" spans="1:14" x14ac:dyDescent="0.3">
      <c r="A47" s="28">
        <v>58</v>
      </c>
      <c r="B47" s="28"/>
      <c r="C47" s="28">
        <v>1.5</v>
      </c>
      <c r="D47" s="28" t="s">
        <v>52</v>
      </c>
      <c r="E47" s="28" t="s">
        <v>42</v>
      </c>
      <c r="F47" s="29" t="s">
        <v>57</v>
      </c>
      <c r="G47" s="48"/>
      <c r="H47" s="48"/>
      <c r="I47" s="48"/>
      <c r="J47" s="48"/>
      <c r="K47" s="48"/>
      <c r="L47" s="28" t="s">
        <v>27</v>
      </c>
      <c r="M47" s="28"/>
      <c r="N47" s="28" t="s">
        <v>8</v>
      </c>
    </row>
    <row r="48" spans="1:14" ht="43.2" x14ac:dyDescent="0.3">
      <c r="A48" s="28">
        <v>59</v>
      </c>
      <c r="B48" s="28"/>
      <c r="C48" s="28">
        <v>1.5</v>
      </c>
      <c r="D48" s="28" t="s">
        <v>52</v>
      </c>
      <c r="E48" s="28" t="s">
        <v>42</v>
      </c>
      <c r="F48" s="29" t="s">
        <v>62</v>
      </c>
      <c r="G48" s="48"/>
      <c r="H48" s="48"/>
      <c r="I48" s="48"/>
      <c r="J48" s="48"/>
      <c r="K48" s="48"/>
      <c r="L48" s="28" t="s">
        <v>27</v>
      </c>
      <c r="M48" s="28"/>
      <c r="N48" s="28" t="s">
        <v>8</v>
      </c>
    </row>
    <row r="49" spans="1:14" ht="100.8" x14ac:dyDescent="0.3">
      <c r="A49" s="28">
        <v>60</v>
      </c>
      <c r="B49" s="28"/>
      <c r="C49" s="28">
        <v>1.5</v>
      </c>
      <c r="D49" s="28" t="s">
        <v>52</v>
      </c>
      <c r="E49" s="28" t="s">
        <v>42</v>
      </c>
      <c r="F49" s="29" t="s">
        <v>63</v>
      </c>
      <c r="G49" s="49"/>
      <c r="H49" s="49"/>
      <c r="I49" s="49"/>
      <c r="J49" s="49"/>
      <c r="K49" s="48"/>
      <c r="L49" s="28" t="s">
        <v>27</v>
      </c>
      <c r="M49" s="28"/>
      <c r="N49" s="28" t="s">
        <v>8</v>
      </c>
    </row>
    <row r="50" spans="1:14" ht="72" x14ac:dyDescent="0.3">
      <c r="A50" s="26">
        <v>61</v>
      </c>
      <c r="B50" s="26" t="s">
        <v>7</v>
      </c>
      <c r="C50" s="26">
        <v>1.5</v>
      </c>
      <c r="D50" s="26" t="s">
        <v>52</v>
      </c>
      <c r="E50" s="26" t="s">
        <v>44</v>
      </c>
      <c r="F50" s="27" t="s">
        <v>55</v>
      </c>
      <c r="G50" s="26" t="s">
        <v>9</v>
      </c>
      <c r="H50" s="26" t="s">
        <v>33</v>
      </c>
      <c r="I50" s="26" cm="1">
        <f t="array" ref="I50">_xlfn.SWITCH(H50,"XS",1,"S",2,"M",3,"L",5,"XL",8,"XXL",13,"XXXL",21,"")</f>
        <v>3</v>
      </c>
      <c r="J50" s="26">
        <f t="shared" si="0"/>
        <v>3</v>
      </c>
      <c r="K50" s="48"/>
      <c r="L50" s="26" t="s">
        <v>27</v>
      </c>
      <c r="M50" s="26"/>
      <c r="N50" s="26" t="s">
        <v>8</v>
      </c>
    </row>
    <row r="51" spans="1:14" ht="28.8" x14ac:dyDescent="0.3">
      <c r="A51" s="26">
        <v>62</v>
      </c>
      <c r="B51" s="26" t="s">
        <v>7</v>
      </c>
      <c r="C51" s="26">
        <v>1.5</v>
      </c>
      <c r="D51" s="26" t="s">
        <v>52</v>
      </c>
      <c r="E51" s="26" t="s">
        <v>44</v>
      </c>
      <c r="F51" s="27" t="s">
        <v>64</v>
      </c>
      <c r="G51" s="26" t="s">
        <v>9</v>
      </c>
      <c r="H51" s="26" t="s">
        <v>33</v>
      </c>
      <c r="I51" s="26" cm="1">
        <f t="array" ref="I51">_xlfn.SWITCH(H51,"XS",1,"S",2,"M",3,"L",5,"XL",8,"XXL",13,"XXXL",21,"")</f>
        <v>3</v>
      </c>
      <c r="J51" s="26">
        <f t="shared" si="0"/>
        <v>3</v>
      </c>
      <c r="K51" s="48"/>
      <c r="L51" s="26" t="s">
        <v>27</v>
      </c>
      <c r="M51" s="26"/>
      <c r="N51" s="26" t="s">
        <v>8</v>
      </c>
    </row>
    <row r="52" spans="1:14" ht="28.8" x14ac:dyDescent="0.3">
      <c r="A52" s="26">
        <v>63</v>
      </c>
      <c r="B52" s="26" t="s">
        <v>7</v>
      </c>
      <c r="C52" s="26">
        <v>1.5</v>
      </c>
      <c r="D52" s="26" t="s">
        <v>52</v>
      </c>
      <c r="E52" s="26" t="s">
        <v>44</v>
      </c>
      <c r="F52" s="27" t="s">
        <v>54</v>
      </c>
      <c r="G52" s="26" t="s">
        <v>9</v>
      </c>
      <c r="H52" s="26" t="s">
        <v>32</v>
      </c>
      <c r="I52" s="26" cm="1">
        <f t="array" ref="I52">_xlfn.SWITCH(H52,"XS",1,"S",2,"M",3,"L",5,"XL",8,"XXL",13,"XXXL",21,"")</f>
        <v>2</v>
      </c>
      <c r="J52" s="26">
        <f t="shared" si="0"/>
        <v>2</v>
      </c>
      <c r="K52" s="49"/>
      <c r="L52" s="26" t="s">
        <v>27</v>
      </c>
      <c r="M52" s="26"/>
      <c r="N52" s="26" t="s">
        <v>8</v>
      </c>
    </row>
    <row r="53" spans="1:14" s="16" customFormat="1" ht="129.6" x14ac:dyDescent="0.3">
      <c r="A53" s="30">
        <v>64</v>
      </c>
      <c r="B53" s="30" t="s">
        <v>7</v>
      </c>
      <c r="C53" s="30">
        <v>1.6</v>
      </c>
      <c r="D53" s="30" t="s">
        <v>45</v>
      </c>
      <c r="E53" s="30" t="s">
        <v>42</v>
      </c>
      <c r="F53" s="31" t="s">
        <v>75</v>
      </c>
      <c r="G53" s="30" t="s">
        <v>43</v>
      </c>
      <c r="H53" s="30" t="s">
        <v>39</v>
      </c>
      <c r="I53" s="30" cm="1">
        <f t="array" ref="I53">_xlfn.SWITCH(H53,"XS",1,"S",2,"M",3,"L",5,"XL",8,"XXL",13,"XXXL",21,"")</f>
        <v>1</v>
      </c>
      <c r="J53" s="30">
        <f t="shared" si="0"/>
        <v>1</v>
      </c>
      <c r="K53" s="56"/>
      <c r="L53" s="30" t="s">
        <v>27</v>
      </c>
      <c r="M53" s="30"/>
      <c r="N53" s="30" t="s">
        <v>8</v>
      </c>
    </row>
    <row r="54" spans="1:14" s="16" customFormat="1" ht="43.2" x14ac:dyDescent="0.3">
      <c r="A54" s="30">
        <v>65</v>
      </c>
      <c r="B54" s="30" t="s">
        <v>7</v>
      </c>
      <c r="C54" s="30">
        <v>1.6</v>
      </c>
      <c r="D54" s="30" t="s">
        <v>45</v>
      </c>
      <c r="E54" s="30" t="s">
        <v>42</v>
      </c>
      <c r="F54" s="31" t="s">
        <v>74</v>
      </c>
      <c r="G54" s="30" t="s">
        <v>43</v>
      </c>
      <c r="H54" s="30" t="s">
        <v>39</v>
      </c>
      <c r="I54" s="30" cm="1">
        <f t="array" ref="I54">_xlfn.SWITCH(H54,"XS",1,"S",2,"M",3,"L",5,"XL",8,"XXL",13,"XXXL",21,"")</f>
        <v>1</v>
      </c>
      <c r="J54" s="30">
        <f t="shared" si="0"/>
        <v>1</v>
      </c>
      <c r="K54" s="57"/>
      <c r="L54" s="30" t="s">
        <v>27</v>
      </c>
      <c r="M54" s="30"/>
      <c r="N54" s="30" t="s">
        <v>8</v>
      </c>
    </row>
    <row r="55" spans="1:14" s="16" customFormat="1" ht="57.6" x14ac:dyDescent="0.3">
      <c r="A55" s="30">
        <v>66</v>
      </c>
      <c r="B55" s="30" t="s">
        <v>7</v>
      </c>
      <c r="C55" s="30">
        <v>1.6</v>
      </c>
      <c r="D55" s="30" t="s">
        <v>45</v>
      </c>
      <c r="E55" s="30" t="s">
        <v>42</v>
      </c>
      <c r="F55" s="31" t="s">
        <v>78</v>
      </c>
      <c r="G55" s="30" t="s">
        <v>43</v>
      </c>
      <c r="H55" s="30" t="s">
        <v>39</v>
      </c>
      <c r="I55" s="30" cm="1">
        <f t="array" ref="I55">_xlfn.SWITCH(H55,"XS",1,"S",2,"M",3,"L",5,"XL",8,"XXL",13,"XXXL",21,"")</f>
        <v>1</v>
      </c>
      <c r="J55" s="30">
        <f t="shared" si="0"/>
        <v>1</v>
      </c>
      <c r="K55" s="57"/>
      <c r="L55" s="30" t="s">
        <v>27</v>
      </c>
      <c r="M55" s="30"/>
      <c r="N55" s="30" t="s">
        <v>8</v>
      </c>
    </row>
    <row r="56" spans="1:14" ht="86.4" x14ac:dyDescent="0.3">
      <c r="A56" s="33">
        <v>68</v>
      </c>
      <c r="B56" s="33" t="s">
        <v>7</v>
      </c>
      <c r="C56" s="33">
        <v>1.6</v>
      </c>
      <c r="D56" s="33" t="s">
        <v>45</v>
      </c>
      <c r="E56" s="33" t="s">
        <v>44</v>
      </c>
      <c r="F56" s="34" t="s">
        <v>65</v>
      </c>
      <c r="G56" s="33" t="s">
        <v>9</v>
      </c>
      <c r="H56" s="33" t="s">
        <v>33</v>
      </c>
      <c r="I56" s="33" cm="1">
        <f t="array" ref="I56">_xlfn.SWITCH(H56,"XS",1,"S",2,"M",3,"L",5,"XL",8,"XXL",13,"XXXL",21,"")</f>
        <v>3</v>
      </c>
      <c r="J56" s="33">
        <f t="shared" si="0"/>
        <v>3</v>
      </c>
      <c r="K56" s="57"/>
      <c r="L56" s="33" t="s">
        <v>27</v>
      </c>
      <c r="M56" s="33"/>
      <c r="N56" s="33" t="s">
        <v>8</v>
      </c>
    </row>
    <row r="57" spans="1:14" ht="43.2" x14ac:dyDescent="0.3">
      <c r="A57" s="33">
        <v>69</v>
      </c>
      <c r="B57" s="33" t="s">
        <v>7</v>
      </c>
      <c r="C57" s="33">
        <v>1.6</v>
      </c>
      <c r="D57" s="33" t="s">
        <v>45</v>
      </c>
      <c r="E57" s="33" t="s">
        <v>44</v>
      </c>
      <c r="F57" s="34" t="s">
        <v>66</v>
      </c>
      <c r="G57" s="33" t="s">
        <v>36</v>
      </c>
      <c r="H57" s="33" t="s">
        <v>33</v>
      </c>
      <c r="I57" s="33" cm="1">
        <f t="array" ref="I57">_xlfn.SWITCH(H57,"XS",1,"S",2,"M",3,"L",5,"XL",8,"XXL",13,"XXXL",21,"")</f>
        <v>3</v>
      </c>
      <c r="J57" s="33">
        <f t="shared" si="0"/>
        <v>3</v>
      </c>
      <c r="K57" s="57"/>
      <c r="L57" s="33" t="s">
        <v>27</v>
      </c>
      <c r="M57" s="33"/>
      <c r="N57" s="33" t="s">
        <v>8</v>
      </c>
    </row>
    <row r="58" spans="1:14" x14ac:dyDescent="0.3">
      <c r="A58" s="33">
        <v>70</v>
      </c>
      <c r="B58" s="33" t="s">
        <v>7</v>
      </c>
      <c r="C58" s="33">
        <v>1.6</v>
      </c>
      <c r="D58" s="33" t="s">
        <v>45</v>
      </c>
      <c r="E58" s="33" t="s">
        <v>44</v>
      </c>
      <c r="F58" s="34" t="s">
        <v>31</v>
      </c>
      <c r="G58" s="33" t="s">
        <v>9</v>
      </c>
      <c r="H58" s="33" t="s">
        <v>39</v>
      </c>
      <c r="I58" s="33" cm="1">
        <f t="array" ref="I58">_xlfn.SWITCH(H58,"XS",1,"S",2,"M",3,"L",5,"XL",8,"XXL",13,"XXXL",21,"")</f>
        <v>1</v>
      </c>
      <c r="J58" s="33">
        <f t="shared" si="0"/>
        <v>1</v>
      </c>
      <c r="K58" s="57"/>
      <c r="L58" s="33" t="s">
        <v>27</v>
      </c>
      <c r="M58" s="33"/>
      <c r="N58" s="33" t="s">
        <v>8</v>
      </c>
    </row>
    <row r="59" spans="1:14" ht="57.6" x14ac:dyDescent="0.3">
      <c r="A59" s="33">
        <v>71</v>
      </c>
      <c r="B59" s="33" t="s">
        <v>7</v>
      </c>
      <c r="C59" s="33">
        <v>1.6</v>
      </c>
      <c r="D59" s="33" t="s">
        <v>45</v>
      </c>
      <c r="E59" s="33" t="s">
        <v>44</v>
      </c>
      <c r="F59" s="34" t="s">
        <v>67</v>
      </c>
      <c r="G59" s="33" t="s">
        <v>9</v>
      </c>
      <c r="H59" s="33" t="s">
        <v>32</v>
      </c>
      <c r="I59" s="33" cm="1">
        <f t="array" ref="I59">_xlfn.SWITCH(H59,"XS",1,"S",2,"M",3,"L",5,"XL",8,"XXL",13,"XXXL",21,"")</f>
        <v>2</v>
      </c>
      <c r="J59" s="33">
        <f t="shared" ref="J59:J75" si="1">I59</f>
        <v>2</v>
      </c>
      <c r="K59" s="57"/>
      <c r="L59" s="33" t="s">
        <v>27</v>
      </c>
      <c r="M59" s="33"/>
      <c r="N59" s="33" t="s">
        <v>8</v>
      </c>
    </row>
    <row r="60" spans="1:14" ht="43.2" x14ac:dyDescent="0.3">
      <c r="A60" s="33">
        <v>76</v>
      </c>
      <c r="B60" s="33" t="s">
        <v>7</v>
      </c>
      <c r="C60" s="33">
        <v>1.6</v>
      </c>
      <c r="D60" s="33" t="s">
        <v>45</v>
      </c>
      <c r="E60" s="33" t="s">
        <v>44</v>
      </c>
      <c r="F60" s="34" t="s">
        <v>46</v>
      </c>
      <c r="G60" s="33" t="s">
        <v>9</v>
      </c>
      <c r="H60" s="33" t="s">
        <v>37</v>
      </c>
      <c r="I60" s="33" cm="1">
        <f t="array" ref="I60">_xlfn.SWITCH(H60,"XS",1,"S",2,"M",3,"L",5,"XL",8,"XXL",13,"XXXL",21,"")</f>
        <v>5</v>
      </c>
      <c r="J60" s="33">
        <f t="shared" si="1"/>
        <v>5</v>
      </c>
      <c r="K60" s="57"/>
      <c r="L60" s="33" t="s">
        <v>27</v>
      </c>
      <c r="M60" s="33"/>
      <c r="N60" s="33" t="s">
        <v>8</v>
      </c>
    </row>
    <row r="61" spans="1:14" ht="43.2" x14ac:dyDescent="0.3">
      <c r="A61" s="33">
        <v>77</v>
      </c>
      <c r="B61" s="33" t="s">
        <v>7</v>
      </c>
      <c r="C61" s="33">
        <v>1.6</v>
      </c>
      <c r="D61" s="33" t="s">
        <v>45</v>
      </c>
      <c r="E61" s="33" t="s">
        <v>44</v>
      </c>
      <c r="F61" s="34" t="s">
        <v>70</v>
      </c>
      <c r="G61" s="33" t="s">
        <v>9</v>
      </c>
      <c r="H61" s="33" t="s">
        <v>33</v>
      </c>
      <c r="I61" s="33" cm="1">
        <f t="array" ref="I61">_xlfn.SWITCH(H61,"XS",1,"S",2,"M",3,"L",5,"XL",8,"XXL",13,"XXXL",21,"")</f>
        <v>3</v>
      </c>
      <c r="J61" s="33">
        <f t="shared" si="1"/>
        <v>3</v>
      </c>
      <c r="K61" s="57"/>
      <c r="L61" s="33" t="s">
        <v>27</v>
      </c>
      <c r="M61" s="33"/>
      <c r="N61" s="33" t="s">
        <v>8</v>
      </c>
    </row>
    <row r="62" spans="1:14" ht="28.8" x14ac:dyDescent="0.3">
      <c r="A62" s="33">
        <v>78</v>
      </c>
      <c r="B62" s="33" t="s">
        <v>7</v>
      </c>
      <c r="C62" s="33">
        <v>1.6</v>
      </c>
      <c r="D62" s="33" t="s">
        <v>45</v>
      </c>
      <c r="E62" s="33" t="s">
        <v>44</v>
      </c>
      <c r="F62" s="34" t="s">
        <v>79</v>
      </c>
      <c r="G62" s="33" t="s">
        <v>9</v>
      </c>
      <c r="H62" s="33" t="s">
        <v>39</v>
      </c>
      <c r="I62" s="33" cm="1">
        <f t="array" ref="I62">_xlfn.SWITCH(H62,"XS",1,"S",2,"M",3,"L",5,"XL",8,"XXL",13,"XXXL",21,"")</f>
        <v>1</v>
      </c>
      <c r="J62" s="33">
        <f t="shared" si="1"/>
        <v>1</v>
      </c>
      <c r="K62" s="57"/>
      <c r="L62" s="33" t="s">
        <v>27</v>
      </c>
      <c r="M62" s="33"/>
      <c r="N62" s="33" t="s">
        <v>8</v>
      </c>
    </row>
    <row r="63" spans="1:14" ht="28.8" x14ac:dyDescent="0.3">
      <c r="A63" s="33">
        <v>79</v>
      </c>
      <c r="B63" s="33" t="s">
        <v>7</v>
      </c>
      <c r="C63" s="33">
        <v>1.6</v>
      </c>
      <c r="D63" s="33" t="s">
        <v>45</v>
      </c>
      <c r="E63" s="33" t="s">
        <v>44</v>
      </c>
      <c r="F63" s="34" t="s">
        <v>71</v>
      </c>
      <c r="G63" s="33" t="s">
        <v>9</v>
      </c>
      <c r="H63" s="33" t="s">
        <v>39</v>
      </c>
      <c r="I63" s="33" cm="1">
        <f t="array" ref="I63">_xlfn.SWITCH(H63,"XS",1,"S",2,"M",3,"L",5,"XL",8,"XXL",13,"XXXL",21,"")</f>
        <v>1</v>
      </c>
      <c r="J63" s="33">
        <f t="shared" si="1"/>
        <v>1</v>
      </c>
      <c r="K63" s="57"/>
      <c r="L63" s="33" t="s">
        <v>27</v>
      </c>
      <c r="M63" s="33"/>
      <c r="N63" s="33" t="s">
        <v>8</v>
      </c>
    </row>
    <row r="64" spans="1:14" ht="57.6" x14ac:dyDescent="0.3">
      <c r="A64" s="33">
        <v>80</v>
      </c>
      <c r="B64" s="33" t="s">
        <v>7</v>
      </c>
      <c r="C64" s="33">
        <v>1.6</v>
      </c>
      <c r="D64" s="33" t="s">
        <v>45</v>
      </c>
      <c r="E64" s="33" t="s">
        <v>44</v>
      </c>
      <c r="F64" s="34" t="s">
        <v>72</v>
      </c>
      <c r="G64" s="33" t="s">
        <v>9</v>
      </c>
      <c r="H64" s="33" t="s">
        <v>33</v>
      </c>
      <c r="I64" s="33" cm="1">
        <f t="array" ref="I64">_xlfn.SWITCH(H64,"XS",1,"S",2,"M",3,"L",5,"XL",8,"XXL",13,"XXXL",21,"")</f>
        <v>3</v>
      </c>
      <c r="J64" s="33">
        <f t="shared" si="1"/>
        <v>3</v>
      </c>
      <c r="K64" s="57"/>
      <c r="L64" s="33" t="s">
        <v>27</v>
      </c>
      <c r="M64" s="33"/>
      <c r="N64" s="33" t="s">
        <v>8</v>
      </c>
    </row>
    <row r="65" spans="1:14" ht="57.6" x14ac:dyDescent="0.3">
      <c r="A65" s="33">
        <v>81</v>
      </c>
      <c r="B65" s="33" t="s">
        <v>7</v>
      </c>
      <c r="C65" s="33">
        <v>1.6</v>
      </c>
      <c r="D65" s="33" t="s">
        <v>45</v>
      </c>
      <c r="E65" s="33" t="s">
        <v>44</v>
      </c>
      <c r="F65" s="34" t="s">
        <v>73</v>
      </c>
      <c r="G65" s="33" t="s">
        <v>9</v>
      </c>
      <c r="H65" s="33" t="s">
        <v>32</v>
      </c>
      <c r="I65" s="33" cm="1">
        <f t="array" ref="I65">_xlfn.SWITCH(H65,"XS",1,"S",2,"M",3,"L",5,"XL",8,"XXL",13,"XXXL",21,"")</f>
        <v>2</v>
      </c>
      <c r="J65" s="33">
        <f t="shared" si="1"/>
        <v>2</v>
      </c>
      <c r="K65" s="58"/>
      <c r="L65" s="33" t="s">
        <v>27</v>
      </c>
      <c r="M65" s="33"/>
      <c r="N65" s="33" t="s">
        <v>8</v>
      </c>
    </row>
    <row r="66" spans="1:14" s="16" customFormat="1" ht="57.6" x14ac:dyDescent="0.3">
      <c r="A66" s="30">
        <v>67</v>
      </c>
      <c r="B66" s="30" t="s">
        <v>7</v>
      </c>
      <c r="C66" s="37">
        <v>1.7</v>
      </c>
      <c r="D66" s="37" t="s">
        <v>81</v>
      </c>
      <c r="E66" s="37" t="s">
        <v>42</v>
      </c>
      <c r="F66" s="38" t="s">
        <v>80</v>
      </c>
      <c r="G66" s="37" t="s">
        <v>43</v>
      </c>
      <c r="H66" s="37" t="s">
        <v>39</v>
      </c>
      <c r="I66" s="37" cm="1">
        <f t="array" ref="I66">_xlfn.SWITCH(H66,"XS",1,"S",2,"M",3,"L",5,"XL",8,"XXL",13,"XXXL",21,"")</f>
        <v>1</v>
      </c>
      <c r="J66" s="37">
        <f>I66</f>
        <v>1</v>
      </c>
      <c r="K66" s="59"/>
      <c r="L66" s="37" t="s">
        <v>27</v>
      </c>
      <c r="M66" s="37"/>
      <c r="N66" s="37" t="s">
        <v>8</v>
      </c>
    </row>
    <row r="67" spans="1:14" ht="100.8" x14ac:dyDescent="0.3">
      <c r="A67" s="33">
        <v>72</v>
      </c>
      <c r="B67" s="33" t="s">
        <v>7</v>
      </c>
      <c r="C67" s="35">
        <v>1.7</v>
      </c>
      <c r="D67" s="35" t="s">
        <v>81</v>
      </c>
      <c r="E67" s="35" t="s">
        <v>44</v>
      </c>
      <c r="F67" s="36" t="s">
        <v>76</v>
      </c>
      <c r="G67" s="35" t="s">
        <v>9</v>
      </c>
      <c r="H67" s="35" t="s">
        <v>34</v>
      </c>
      <c r="I67" s="35" cm="1">
        <f t="array" ref="I67">_xlfn.SWITCH(H67,"XS",1,"S",2,"M",3,"L",5,"XL",8,"XXL",13,"XXXL",21,"")</f>
        <v>8</v>
      </c>
      <c r="J67" s="35">
        <f>I67</f>
        <v>8</v>
      </c>
      <c r="K67" s="60"/>
      <c r="L67" s="35" t="s">
        <v>27</v>
      </c>
      <c r="M67" s="35"/>
      <c r="N67" s="35" t="s">
        <v>8</v>
      </c>
    </row>
    <row r="68" spans="1:14" ht="115.2" x14ac:dyDescent="0.3">
      <c r="A68" s="33">
        <v>73</v>
      </c>
      <c r="B68" s="33" t="s">
        <v>7</v>
      </c>
      <c r="C68" s="35">
        <v>1.7</v>
      </c>
      <c r="D68" s="35" t="s">
        <v>81</v>
      </c>
      <c r="E68" s="35" t="s">
        <v>44</v>
      </c>
      <c r="F68" s="36" t="s">
        <v>77</v>
      </c>
      <c r="G68" s="35" t="s">
        <v>9</v>
      </c>
      <c r="H68" s="35" t="s">
        <v>37</v>
      </c>
      <c r="I68" s="35" cm="1">
        <f t="array" ref="I68">_xlfn.SWITCH(H68,"XS",1,"S",2,"M",3,"L",5,"XL",8,"XXL",13,"XXXL",21,"")</f>
        <v>5</v>
      </c>
      <c r="J68" s="35">
        <f>I68</f>
        <v>5</v>
      </c>
      <c r="K68" s="60"/>
      <c r="L68" s="35" t="s">
        <v>27</v>
      </c>
      <c r="M68" s="35"/>
      <c r="N68" s="35" t="s">
        <v>8</v>
      </c>
    </row>
    <row r="69" spans="1:14" x14ac:dyDescent="0.3">
      <c r="A69" s="33">
        <v>74</v>
      </c>
      <c r="B69" s="33" t="s">
        <v>7</v>
      </c>
      <c r="C69" s="35">
        <v>1.7</v>
      </c>
      <c r="D69" s="35" t="s">
        <v>81</v>
      </c>
      <c r="E69" s="35" t="s">
        <v>44</v>
      </c>
      <c r="F69" s="36" t="s">
        <v>68</v>
      </c>
      <c r="G69" s="35" t="s">
        <v>35</v>
      </c>
      <c r="H69" s="35" t="s">
        <v>34</v>
      </c>
      <c r="I69" s="35" cm="1">
        <f t="array" ref="I69">_xlfn.SWITCH(H69,"XS",1,"S",2,"M",3,"L",5,"XL",8,"XXL",13,"XXXL",21,"")</f>
        <v>8</v>
      </c>
      <c r="J69" s="35">
        <f>I69</f>
        <v>8</v>
      </c>
      <c r="K69" s="60"/>
      <c r="L69" s="35" t="s">
        <v>27</v>
      </c>
      <c r="M69" s="35"/>
      <c r="N69" s="35" t="s">
        <v>8</v>
      </c>
    </row>
    <row r="70" spans="1:14" ht="28.8" x14ac:dyDescent="0.3">
      <c r="A70" s="33">
        <v>75</v>
      </c>
      <c r="B70" s="33"/>
      <c r="C70" s="35">
        <v>1.7</v>
      </c>
      <c r="D70" s="35" t="s">
        <v>81</v>
      </c>
      <c r="E70" s="35" t="s">
        <v>44</v>
      </c>
      <c r="F70" s="36" t="s">
        <v>69</v>
      </c>
      <c r="G70" s="35" t="s">
        <v>35</v>
      </c>
      <c r="H70" s="35" t="s">
        <v>37</v>
      </c>
      <c r="I70" s="35" cm="1">
        <f t="array" ref="I70">_xlfn.SWITCH(H70,"XS",1,"S",2,"M",3,"L",5,"XL",8,"XXL",13,"XXXL",21,"")</f>
        <v>5</v>
      </c>
      <c r="J70" s="35">
        <f>I70</f>
        <v>5</v>
      </c>
      <c r="K70" s="61"/>
      <c r="L70" s="35" t="s">
        <v>27</v>
      </c>
      <c r="M70" s="35"/>
      <c r="N70" s="35" t="s">
        <v>8</v>
      </c>
    </row>
    <row r="71" spans="1:14" x14ac:dyDescent="0.3">
      <c r="A71" s="2">
        <v>82</v>
      </c>
      <c r="B71" s="2" t="s">
        <v>7</v>
      </c>
      <c r="C71" s="2"/>
      <c r="D71" s="2"/>
      <c r="E71" s="2"/>
      <c r="F71" s="2"/>
      <c r="G71" s="2"/>
      <c r="H71" s="2"/>
      <c r="I71" s="2" t="str" cm="1">
        <f t="array" ref="I71">_xlfn.SWITCH(H71,"XS",1,"S",2,"M",3,"L",5,"XL",8,"XXL",13,"XXXL",21,"")</f>
        <v/>
      </c>
      <c r="J71" s="32" t="str">
        <f t="shared" si="1"/>
        <v/>
      </c>
      <c r="K71" s="32"/>
      <c r="L71" s="2"/>
      <c r="M71" s="2"/>
      <c r="N71" s="2"/>
    </row>
    <row r="72" spans="1:14" x14ac:dyDescent="0.3">
      <c r="A72" s="2">
        <v>83</v>
      </c>
      <c r="B72" s="2" t="s">
        <v>7</v>
      </c>
      <c r="C72" s="2"/>
      <c r="D72" s="2"/>
      <c r="E72" s="2"/>
      <c r="F72" s="2"/>
      <c r="G72" s="2"/>
      <c r="H72" s="2"/>
      <c r="I72" s="2" t="str" cm="1">
        <f t="array" ref="I72">_xlfn.SWITCH(H72,"XS",1,"S",2,"M",3,"L",5,"XL",8,"XXL",13,"XXXL",21,"")</f>
        <v/>
      </c>
      <c r="J72" s="32" t="str">
        <f t="shared" si="1"/>
        <v/>
      </c>
      <c r="K72" s="32"/>
      <c r="L72" s="2"/>
      <c r="M72" s="2"/>
      <c r="N72" s="2"/>
    </row>
    <row r="73" spans="1:14" x14ac:dyDescent="0.3">
      <c r="A73" s="2">
        <v>84</v>
      </c>
      <c r="B73" s="2" t="s">
        <v>7</v>
      </c>
      <c r="C73" s="2"/>
      <c r="D73" s="2"/>
      <c r="E73" s="2"/>
      <c r="F73" s="2"/>
      <c r="G73" s="2"/>
      <c r="H73" s="2"/>
      <c r="I73" s="2" t="str" cm="1">
        <f t="array" ref="I73">_xlfn.SWITCH(H73,"XS",1,"S",2,"M",3,"L",5,"XL",8,"XXL",13,"XXXL",21,"")</f>
        <v/>
      </c>
      <c r="J73" s="32" t="str">
        <f t="shared" si="1"/>
        <v/>
      </c>
      <c r="K73" s="32"/>
      <c r="L73" s="2"/>
      <c r="M73" s="2"/>
      <c r="N73" s="2"/>
    </row>
    <row r="74" spans="1:14" x14ac:dyDescent="0.3">
      <c r="A74" s="2">
        <v>85</v>
      </c>
      <c r="B74" s="2" t="s">
        <v>7</v>
      </c>
      <c r="C74" s="2"/>
      <c r="D74" s="2"/>
      <c r="E74" s="2"/>
      <c r="F74" s="2"/>
      <c r="G74" s="2"/>
      <c r="H74" s="2"/>
      <c r="I74" s="2" t="str" cm="1">
        <f t="array" ref="I74">_xlfn.SWITCH(H74,"XS",1,"S",2,"M",3,"L",5,"XL",8,"XXL",13,"XXXL",21,"")</f>
        <v/>
      </c>
      <c r="J74" s="32" t="str">
        <f t="shared" si="1"/>
        <v/>
      </c>
      <c r="K74" s="32"/>
      <c r="L74" s="2"/>
      <c r="M74" s="2"/>
      <c r="N74" s="2"/>
    </row>
    <row r="75" spans="1:14" x14ac:dyDescent="0.3">
      <c r="A75" s="2">
        <v>86</v>
      </c>
      <c r="B75" s="2" t="s">
        <v>7</v>
      </c>
      <c r="C75" s="2"/>
      <c r="D75" s="2"/>
      <c r="E75" s="2"/>
      <c r="F75" s="2"/>
      <c r="G75" s="2"/>
      <c r="H75" s="2"/>
      <c r="I75" s="2" t="str" cm="1">
        <f t="array" ref="I75">_xlfn.SWITCH(H75,"XS",1,"S",2,"M",3,"L",5,"XL",8,"XXL",13,"XXXL",21,"")</f>
        <v/>
      </c>
      <c r="J75" s="32" t="str">
        <f t="shared" si="1"/>
        <v/>
      </c>
      <c r="K75" s="32"/>
      <c r="L75" s="2"/>
      <c r="M75" s="2"/>
      <c r="N75" s="2"/>
    </row>
  </sheetData>
  <mergeCells count="21">
    <mergeCell ref="J30:J37"/>
    <mergeCell ref="K53:K65"/>
    <mergeCell ref="K66:K70"/>
    <mergeCell ref="K25:K37"/>
    <mergeCell ref="K38:K45"/>
    <mergeCell ref="K46:K52"/>
    <mergeCell ref="J42:J45"/>
    <mergeCell ref="G46:G49"/>
    <mergeCell ref="H46:H49"/>
    <mergeCell ref="I46:I49"/>
    <mergeCell ref="J46:J49"/>
    <mergeCell ref="G42:G45"/>
    <mergeCell ref="H42:H45"/>
    <mergeCell ref="I42:I45"/>
    <mergeCell ref="H38:H41"/>
    <mergeCell ref="I38:I41"/>
    <mergeCell ref="G38:G41"/>
    <mergeCell ref="J38:J41"/>
    <mergeCell ref="G30:G37"/>
    <mergeCell ref="H30:H37"/>
    <mergeCell ref="I30:I3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9B43-8ACA-4B5D-A185-0146C384427F}">
  <dimension ref="A1:K12"/>
  <sheetViews>
    <sheetView workbookViewId="0">
      <selection activeCell="W15" sqref="W15"/>
    </sheetView>
  </sheetViews>
  <sheetFormatPr defaultRowHeight="14.4" x14ac:dyDescent="0.3"/>
  <cols>
    <col min="1" max="1" width="4.88671875" style="3" bestFit="1" customWidth="1"/>
    <col min="2" max="2" width="6.109375" style="41" bestFit="1" customWidth="1"/>
    <col min="3" max="3" width="8.44140625" style="3" bestFit="1" customWidth="1"/>
    <col min="4" max="4" width="6" style="3" bestFit="1" customWidth="1"/>
  </cols>
  <sheetData>
    <row r="1" spans="1:11" ht="57.6" x14ac:dyDescent="0.3">
      <c r="A1" s="3" t="s">
        <v>82</v>
      </c>
      <c r="B1" s="40" t="s">
        <v>83</v>
      </c>
      <c r="C1" s="1" t="s">
        <v>84</v>
      </c>
      <c r="D1" s="1" t="s">
        <v>85</v>
      </c>
    </row>
    <row r="2" spans="1:11" x14ac:dyDescent="0.3">
      <c r="A2" s="3">
        <v>0</v>
      </c>
      <c r="B2" s="40">
        <v>156</v>
      </c>
      <c r="C2" s="1">
        <v>156</v>
      </c>
      <c r="D2" s="1">
        <v>0</v>
      </c>
    </row>
    <row r="3" spans="1:11" x14ac:dyDescent="0.3">
      <c r="A3" s="3">
        <v>1</v>
      </c>
      <c r="B3" s="41">
        <f>156-SUM(D$3:D3)</f>
        <v>156</v>
      </c>
      <c r="C3" s="3">
        <f>156-A3*15.6</f>
        <v>140.4</v>
      </c>
      <c r="D3" s="3">
        <v>0</v>
      </c>
    </row>
    <row r="4" spans="1:11" x14ac:dyDescent="0.3">
      <c r="A4" s="3">
        <v>2</v>
      </c>
      <c r="B4" s="41">
        <f>156-SUM(D$3:D4)</f>
        <v>156</v>
      </c>
      <c r="C4" s="3">
        <f t="shared" ref="C4:C12" si="0">156-A4*15.6</f>
        <v>124.8</v>
      </c>
      <c r="D4" s="3">
        <v>0</v>
      </c>
      <c r="K4" s="39"/>
    </row>
    <row r="5" spans="1:11" x14ac:dyDescent="0.3">
      <c r="A5" s="3">
        <v>3</v>
      </c>
      <c r="B5" s="41">
        <f>156-SUM(D$3:D5)</f>
        <v>156</v>
      </c>
      <c r="C5" s="3">
        <f t="shared" si="0"/>
        <v>109.2</v>
      </c>
      <c r="D5" s="3">
        <v>0</v>
      </c>
    </row>
    <row r="6" spans="1:11" x14ac:dyDescent="0.3">
      <c r="A6" s="3">
        <v>4</v>
      </c>
      <c r="B6" s="41">
        <f>156-SUM(D$3:D6)</f>
        <v>156</v>
      </c>
      <c r="C6" s="3">
        <f t="shared" si="0"/>
        <v>93.6</v>
      </c>
      <c r="D6" s="3">
        <v>0</v>
      </c>
    </row>
    <row r="7" spans="1:11" x14ac:dyDescent="0.3">
      <c r="A7" s="3">
        <v>5</v>
      </c>
      <c r="B7" s="41">
        <f>156-SUM(D$3:D7)</f>
        <v>148</v>
      </c>
      <c r="C7" s="3">
        <f t="shared" si="0"/>
        <v>78</v>
      </c>
      <c r="D7" s="3">
        <v>8</v>
      </c>
    </row>
    <row r="8" spans="1:11" x14ac:dyDescent="0.3">
      <c r="A8" s="3">
        <v>6</v>
      </c>
      <c r="B8" s="41">
        <f>156-SUM(D$3:D8)</f>
        <v>148</v>
      </c>
      <c r="C8" s="3">
        <f t="shared" si="0"/>
        <v>62.400000000000006</v>
      </c>
    </row>
    <row r="9" spans="1:11" x14ac:dyDescent="0.3">
      <c r="A9" s="3">
        <v>7</v>
      </c>
      <c r="B9" s="41">
        <f>156-SUM(D$3:D9)</f>
        <v>148</v>
      </c>
      <c r="C9" s="3">
        <f t="shared" si="0"/>
        <v>46.8</v>
      </c>
    </row>
    <row r="10" spans="1:11" x14ac:dyDescent="0.3">
      <c r="A10" s="3">
        <v>8</v>
      </c>
      <c r="B10" s="41">
        <f>156-SUM(D$3:D10)</f>
        <v>148</v>
      </c>
      <c r="C10" s="3">
        <f t="shared" si="0"/>
        <v>31.200000000000003</v>
      </c>
    </row>
    <row r="11" spans="1:11" x14ac:dyDescent="0.3">
      <c r="A11" s="3">
        <v>9</v>
      </c>
      <c r="B11" s="41">
        <f>156-SUM(D$3:D11)</f>
        <v>148</v>
      </c>
      <c r="C11" s="3">
        <f t="shared" si="0"/>
        <v>15.599999999999994</v>
      </c>
    </row>
    <row r="12" spans="1:11" x14ac:dyDescent="0.3">
      <c r="A12" s="3">
        <v>10</v>
      </c>
      <c r="B12" s="41">
        <f>156-SUM(D$3:D12)</f>
        <v>148</v>
      </c>
      <c r="C12" s="3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"/>
    </sheetView>
  </sheetViews>
  <sheetFormatPr defaultColWidth="13.44140625" defaultRowHeight="14.4" x14ac:dyDescent="0.3"/>
  <cols>
    <col min="1" max="2" width="13.44140625" style="1"/>
    <col min="3" max="16384" width="13.44140625" style="3"/>
  </cols>
  <sheetData>
    <row r="1" spans="1:2" ht="43.2" x14ac:dyDescent="0.3">
      <c r="A1" s="1" t="s">
        <v>16</v>
      </c>
      <c r="B1" s="1" t="s">
        <v>38</v>
      </c>
    </row>
    <row r="2" spans="1:2" x14ac:dyDescent="0.3">
      <c r="A2" s="1" t="s">
        <v>17</v>
      </c>
    </row>
    <row r="3" spans="1:2" x14ac:dyDescent="0.3">
      <c r="A3" s="1" t="s">
        <v>18</v>
      </c>
    </row>
    <row r="4" spans="1:2" x14ac:dyDescent="0.3">
      <c r="A4" s="1" t="s">
        <v>19</v>
      </c>
    </row>
    <row r="5" spans="1:2" x14ac:dyDescent="0.3">
      <c r="A5" s="1" t="s">
        <v>20</v>
      </c>
    </row>
    <row r="6" spans="1:2" x14ac:dyDescent="0.3">
      <c r="A6" s="1" t="s">
        <v>21</v>
      </c>
    </row>
    <row r="7" spans="1:2" x14ac:dyDescent="0.3">
      <c r="A7" s="1" t="s">
        <v>22</v>
      </c>
    </row>
    <row r="8" spans="1:2" x14ac:dyDescent="0.3">
      <c r="A8" s="1" t="s">
        <v>23</v>
      </c>
    </row>
    <row r="9" spans="1:2" x14ac:dyDescent="0.3">
      <c r="A9" s="1" t="s">
        <v>24</v>
      </c>
    </row>
    <row r="10" spans="1:2" x14ac:dyDescent="0.3">
      <c r="A10" s="1" t="s">
        <v>25</v>
      </c>
    </row>
    <row r="11" spans="1:2" x14ac:dyDescent="0.3">
      <c r="A11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Board</vt:lpstr>
      <vt:lpstr>Sheet1</vt:lpstr>
      <vt:lpstr>Daily Standup Guide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sayanb0978@gmail.com</cp:lastModifiedBy>
  <dcterms:created xsi:type="dcterms:W3CDTF">2026-01-01T14:00:11Z</dcterms:created>
  <dcterms:modified xsi:type="dcterms:W3CDTF">2026-01-13T17:05:39Z</dcterms:modified>
</cp:coreProperties>
</file>