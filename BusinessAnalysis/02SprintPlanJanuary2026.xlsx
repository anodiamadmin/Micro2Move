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Hub\Micro2Move\BusinessAnalysis\"/>
    </mc:Choice>
  </mc:AlternateContent>
  <xr:revisionPtr revIDLastSave="0" documentId="13_ncr:1_{D841FD3A-1A1E-4B56-AB28-FE0AD603FB77}" xr6:coauthVersionLast="47" xr6:coauthVersionMax="47" xr10:uidLastSave="{00000000-0000-0000-0000-000000000000}"/>
  <bookViews>
    <workbookView xWindow="-72" yWindow="0" windowWidth="11928" windowHeight="12336" xr2:uid="{00000000-000D-0000-FFFF-FFFF00000000}"/>
  </bookViews>
  <sheets>
    <sheet name="Sprint Board" sheetId="1" r:id="rId1"/>
    <sheet name="Sheet1" sheetId="4" r:id="rId2"/>
    <sheet name="Daily Standup Guide" sheetId="2" r:id="rId3"/>
    <sheet name="Burndown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5" i="1" l="1" a="1"/>
  <c r="H55" i="1" s="1"/>
  <c r="I55" i="1" s="1"/>
  <c r="H54" i="1" a="1"/>
  <c r="H54" i="1" s="1"/>
  <c r="I54" i="1" s="1"/>
  <c r="H53" i="1" a="1"/>
  <c r="H53" i="1" s="1"/>
  <c r="I53" i="1" s="1"/>
  <c r="H76" i="1" a="1"/>
  <c r="H76" i="1" s="1"/>
  <c r="I76" i="1" s="1"/>
  <c r="H75" i="1" a="1"/>
  <c r="H75" i="1" s="1"/>
  <c r="I75" i="1" s="1"/>
  <c r="H74" i="1" a="1"/>
  <c r="H74" i="1" s="1"/>
  <c r="I74" i="1" s="1"/>
  <c r="H73" i="1" a="1"/>
  <c r="H73" i="1" s="1"/>
  <c r="I73" i="1" s="1"/>
  <c r="H72" i="1" a="1"/>
  <c r="H72" i="1" s="1"/>
  <c r="I72" i="1" s="1"/>
  <c r="H68" i="1" a="1"/>
  <c r="H68" i="1" s="1"/>
  <c r="I68" i="1" s="1"/>
  <c r="H67" i="1" a="1"/>
  <c r="H67" i="1" s="1"/>
  <c r="I67" i="1" s="1"/>
  <c r="H66" i="1" a="1"/>
  <c r="H66" i="1" s="1"/>
  <c r="I66" i="1" s="1"/>
  <c r="H65" i="1" a="1"/>
  <c r="H65" i="1" s="1"/>
  <c r="I65" i="1" s="1"/>
  <c r="H64" i="1" a="1"/>
  <c r="H64" i="1" s="1"/>
  <c r="I64" i="1" s="1"/>
  <c r="H63" i="1" a="1"/>
  <c r="H63" i="1" s="1"/>
  <c r="I63" i="1" s="1"/>
  <c r="H62" i="1" a="1"/>
  <c r="H62" i="1" s="1"/>
  <c r="I62" i="1" s="1"/>
  <c r="H61" i="1" a="1"/>
  <c r="H61" i="1" s="1"/>
  <c r="I61" i="1" s="1"/>
  <c r="H60" i="1" a="1"/>
  <c r="H60" i="1" s="1"/>
  <c r="I60" i="1" s="1"/>
  <c r="H59" i="1" a="1"/>
  <c r="H59" i="1" s="1"/>
  <c r="I59" i="1" s="1"/>
  <c r="H58" i="1" a="1"/>
  <c r="H58" i="1" s="1"/>
  <c r="I58" i="1" s="1"/>
  <c r="H57" i="1" a="1"/>
  <c r="H57" i="1" s="1"/>
  <c r="I57" i="1" s="1"/>
  <c r="H56" i="1" a="1"/>
  <c r="H56" i="1" s="1"/>
  <c r="I56" i="1" s="1"/>
  <c r="H52" i="1" a="1"/>
  <c r="H52" i="1" s="1"/>
  <c r="I52" i="1" s="1"/>
  <c r="H51" i="1" a="1"/>
  <c r="H51" i="1" s="1"/>
  <c r="I51" i="1" s="1"/>
  <c r="H50" i="1" a="1"/>
  <c r="H50" i="1" s="1"/>
  <c r="I50" i="1" s="1"/>
  <c r="H46" i="1" a="1"/>
  <c r="H46" i="1" s="1"/>
  <c r="I46" i="1" s="1"/>
  <c r="H45" i="1" l="1" a="1"/>
  <c r="H45" i="1" s="1"/>
  <c r="I45" i="1" s="1"/>
  <c r="H44" i="1" a="1"/>
  <c r="H44" i="1" s="1"/>
  <c r="I44" i="1" s="1"/>
  <c r="H23" i="1" a="1"/>
  <c r="H23" i="1" s="1"/>
  <c r="I23" i="1" s="1"/>
  <c r="H24" i="1" a="1"/>
  <c r="H24" i="1" s="1"/>
  <c r="I24" i="1" s="1"/>
  <c r="H25" i="1" a="1"/>
  <c r="H25" i="1" s="1"/>
  <c r="I25" i="1" s="1"/>
  <c r="H31" i="1" a="1"/>
  <c r="H31" i="1" s="1"/>
  <c r="H32" i="1" a="1"/>
  <c r="H32" i="1" s="1"/>
  <c r="H12" i="1" a="1"/>
  <c r="H12" i="1" s="1"/>
  <c r="I12" i="1" s="1"/>
  <c r="H8" i="1" a="1"/>
  <c r="H8" i="1" s="1"/>
  <c r="I8" i="1" s="1"/>
  <c r="J1" i="1"/>
  <c r="H2" i="1" a="1"/>
  <c r="H2" i="1" s="1"/>
  <c r="I2" i="1" s="1"/>
  <c r="H22" i="1" a="1"/>
  <c r="H22" i="1" s="1"/>
  <c r="I22" i="1" s="1"/>
  <c r="H3" i="1" a="1"/>
  <c r="H3" i="1" s="1"/>
  <c r="I3" i="1" s="1"/>
  <c r="H4" i="1" a="1"/>
  <c r="H4" i="1" s="1"/>
  <c r="I4" i="1" s="1"/>
  <c r="H5" i="1" a="1"/>
  <c r="H5" i="1" s="1"/>
  <c r="I5" i="1" s="1"/>
  <c r="H6" i="1" a="1"/>
  <c r="H6" i="1" s="1"/>
  <c r="I6" i="1" s="1"/>
  <c r="H7" i="1" a="1"/>
  <c r="H7" i="1" s="1"/>
  <c r="I7" i="1" s="1"/>
  <c r="H10" i="1" a="1"/>
  <c r="H10" i="1" s="1"/>
  <c r="I10" i="1" s="1"/>
  <c r="H9" i="1" a="1"/>
  <c r="H9" i="1" s="1"/>
  <c r="I9" i="1" s="1"/>
  <c r="H11" i="1" a="1"/>
  <c r="H11" i="1" s="1"/>
  <c r="I11" i="1" s="1"/>
  <c r="C4" i="4"/>
  <c r="C5" i="4"/>
  <c r="C6" i="4"/>
  <c r="C7" i="4"/>
  <c r="C8" i="4"/>
  <c r="C9" i="4"/>
  <c r="C10" i="4"/>
  <c r="C11" i="4"/>
  <c r="C12" i="4"/>
  <c r="C3" i="4"/>
  <c r="B4" i="4"/>
  <c r="B5" i="4"/>
  <c r="B6" i="4"/>
  <c r="B7" i="4"/>
  <c r="B8" i="4"/>
  <c r="B9" i="4"/>
  <c r="B10" i="4"/>
  <c r="B11" i="4"/>
  <c r="B12" i="4"/>
  <c r="B3" i="4"/>
  <c r="H26" i="1" a="1"/>
  <c r="H26" i="1" s="1"/>
  <c r="I26" i="1" s="1"/>
  <c r="H39" i="1" a="1"/>
  <c r="H39" i="1" s="1"/>
  <c r="I39" i="1" s="1"/>
  <c r="H35" i="1" a="1"/>
  <c r="H35" i="1" s="1"/>
  <c r="I35" i="1" s="1"/>
  <c r="H27" i="1" a="1"/>
  <c r="H27" i="1" s="1"/>
  <c r="I27" i="1" s="1"/>
  <c r="H28" i="1" a="1"/>
  <c r="H28" i="1" s="1"/>
  <c r="I28" i="1" s="1"/>
  <c r="H29" i="1" a="1"/>
  <c r="H29" i="1" s="1"/>
  <c r="I29" i="1" s="1"/>
  <c r="H30" i="1" a="1"/>
  <c r="H30" i="1" s="1"/>
  <c r="I30" i="1" s="1"/>
  <c r="H20" i="1" a="1"/>
  <c r="H20" i="1" s="1"/>
  <c r="I20" i="1" s="1"/>
  <c r="H19" i="1" a="1"/>
  <c r="H19" i="1" s="1"/>
  <c r="I19" i="1" s="1"/>
  <c r="H18" i="1" a="1"/>
  <c r="H18" i="1" s="1"/>
  <c r="I18" i="1" s="1"/>
  <c r="H14" i="1" a="1"/>
  <c r="H14" i="1" s="1"/>
  <c r="I14" i="1" s="1"/>
  <c r="H15" i="1" a="1"/>
  <c r="H15" i="1" s="1"/>
  <c r="I15" i="1" s="1"/>
  <c r="H16" i="1" a="1"/>
  <c r="H16" i="1" s="1"/>
  <c r="I16" i="1" s="1"/>
  <c r="H17" i="1" a="1"/>
  <c r="H17" i="1" s="1"/>
  <c r="I17" i="1" s="1"/>
  <c r="H13" i="1" a="1"/>
  <c r="H13" i="1" s="1"/>
  <c r="I13" i="1" s="1"/>
  <c r="H21" i="1" a="1"/>
  <c r="H21" i="1" s="1"/>
  <c r="I21" i="1" s="1"/>
  <c r="I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<sst xmlns="http://schemas.openxmlformats.org/spreadsheetml/2006/main" count="450" uniqueCount="92">
  <si>
    <t>Epic</t>
  </si>
  <si>
    <t>User Story ID</t>
  </si>
  <si>
    <t>User Story (Short)</t>
  </si>
  <si>
    <t>Task</t>
  </si>
  <si>
    <t>Assigned To</t>
  </si>
  <si>
    <t>Status</t>
  </si>
  <si>
    <t>Blocker / Notes</t>
  </si>
  <si>
    <t>No</t>
  </si>
  <si>
    <t>Alekhya</t>
  </si>
  <si>
    <t>Daily Standup Checklist</t>
  </si>
  <si>
    <t>Is any task Blocked?</t>
  </si>
  <si>
    <t>Is any task In Progress for &gt;2 days?</t>
  </si>
  <si>
    <t>Is Sprint Goal still safe?</t>
  </si>
  <si>
    <t>Any dependency issues?</t>
  </si>
  <si>
    <t>Any help needed today?</t>
  </si>
  <si>
    <t>Day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</si>
  <si>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</si>
  <si>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</si>
  <si>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</si>
  <si>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</si>
  <si>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</si>
  <si>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</si>
  <si>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</si>
  <si>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</si>
  <si>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</si>
  <si>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</si>
  <si>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ToDo</t>
  </si>
  <si>
    <t>DoD Met?</t>
  </si>
  <si>
    <t>T-Shirt Sizing</t>
  </si>
  <si>
    <t>Story Point</t>
  </si>
  <si>
    <t>S</t>
  </si>
  <si>
    <t>M</t>
  </si>
  <si>
    <t>XL</t>
  </si>
  <si>
    <t>Sayan</t>
  </si>
  <si>
    <t>Anirban</t>
  </si>
  <si>
    <t>L</t>
  </si>
  <si>
    <t>Remaining Story Points</t>
  </si>
  <si>
    <t>XS</t>
  </si>
  <si>
    <t>Scope</t>
  </si>
  <si>
    <t>Test</t>
  </si>
  <si>
    <t>Atish</t>
  </si>
  <si>
    <t>Frontend Dev</t>
  </si>
  <si>
    <t>Days</t>
  </si>
  <si>
    <t>Actual Story Points Left</t>
  </si>
  <si>
    <t>Expected Story Points Left</t>
  </si>
  <si>
    <t>Story Points Done</t>
  </si>
  <si>
    <t>RenterE-BikeBookingFilter</t>
  </si>
  <si>
    <t>RenterE-BikeBookingBikeDetails</t>
  </si>
  <si>
    <t>Marketplace-Renting</t>
  </si>
  <si>
    <r>
      <t xml:space="preserve">1. Capture selected bike ID on click of </t>
    </r>
    <r>
      <rPr>
        <b/>
        <sz val="11"/>
        <color theme="1"/>
        <rFont val="Calibri"/>
        <family val="2"/>
        <scheme val="minor"/>
      </rPr>
      <t>Book This E-Bike</t>
    </r>
    <r>
      <rPr>
        <sz val="11"/>
        <color theme="1"/>
        <rFont val="Calibri"/>
        <family val="2"/>
        <scheme val="minor"/>
      </rPr>
      <t xml:space="preserve"> Button or </t>
    </r>
    <r>
      <rPr>
        <b/>
        <sz val="11"/>
        <color theme="1"/>
        <rFont val="Calibri"/>
        <family val="2"/>
        <scheme val="minor"/>
      </rPr>
      <t>cards</t>
    </r>
    <r>
      <rPr>
        <sz val="11"/>
        <color theme="1"/>
        <rFont val="Calibri"/>
        <family val="2"/>
        <scheme val="minor"/>
      </rPr>
      <t xml:space="preserve"> from the list
2. Navigate to </t>
    </r>
    <r>
      <rPr>
        <b/>
        <sz val="11"/>
        <color theme="1"/>
        <rFont val="Calibri"/>
        <family val="2"/>
        <scheme val="minor"/>
      </rPr>
      <t>RenterE-BikeBookingConfirmation</t>
    </r>
    <r>
      <rPr>
        <sz val="11"/>
        <color theme="1"/>
        <rFont val="Calibri"/>
        <family val="2"/>
        <scheme val="minor"/>
      </rPr>
      <t xml:space="preserve"> screen
3. Pass selected bike details via navigation params
4. Render selected bike details on </t>
    </r>
    <r>
      <rPr>
        <b/>
        <sz val="11"/>
        <color theme="1"/>
        <rFont val="Calibri"/>
        <family val="2"/>
        <scheme val="minor"/>
      </rPr>
      <t>RenterE-BikeBookingConfirmation</t>
    </r>
    <r>
      <rPr>
        <sz val="11"/>
        <color theme="1"/>
        <rFont val="Calibri"/>
        <family val="2"/>
        <scheme val="minor"/>
      </rPr>
      <t xml:space="preserve"> screen</t>
    </r>
  </si>
  <si>
    <r>
      <t xml:space="preserve">1. Design the cards for </t>
    </r>
    <r>
      <rPr>
        <b/>
        <sz val="11"/>
        <color theme="1"/>
        <rFont val="Calibri"/>
        <family val="2"/>
        <scheme val="minor"/>
      </rPr>
      <t>Similar E-Bikes</t>
    </r>
    <r>
      <rPr>
        <sz val="11"/>
        <color theme="1"/>
        <rFont val="Calibri"/>
        <family val="2"/>
        <scheme val="minor"/>
      </rPr>
      <t xml:space="preserve"> list of cards
2. Make the cards clickable
3. Render </t>
    </r>
    <r>
      <rPr>
        <b/>
        <sz val="11"/>
        <color theme="1"/>
        <rFont val="Calibri"/>
        <family val="2"/>
        <scheme val="minor"/>
      </rPr>
      <t>E-bike name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Circular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thumbnail </t>
    </r>
    <r>
      <rPr>
        <sz val="11"/>
        <color theme="1"/>
        <rFont val="Calibri"/>
        <family val="2"/>
        <scheme val="minor"/>
      </rPr>
      <t xml:space="preserve">of the E-Bike, </t>
    </r>
    <r>
      <rPr>
        <b/>
        <sz val="11"/>
        <color theme="1"/>
        <rFont val="Calibri"/>
        <family val="2"/>
        <scheme val="minor"/>
      </rPr>
      <t>rating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 Range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E-bike 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 in the cards</t>
    </r>
  </si>
  <si>
    <r>
      <t xml:space="preserve">1. Create </t>
    </r>
    <r>
      <rPr>
        <b/>
        <sz val="11"/>
        <color theme="1"/>
        <rFont val="Calibri"/>
        <family val="2"/>
        <scheme val="minor"/>
      </rPr>
      <t>RenterE-BikeBooking-BikeDetails</t>
    </r>
    <r>
      <rPr>
        <sz val="11"/>
        <color theme="1"/>
        <rFont val="Calibri"/>
        <family val="2"/>
        <scheme val="minor"/>
      </rPr>
      <t xml:space="preserve"> screen component/layout:
2. Render an empty card for highlighting the cheapest e-bike
3.</t>
    </r>
    <r>
      <rPr>
        <b/>
        <sz val="11"/>
        <color theme="1"/>
        <rFont val="Calibri"/>
        <family val="2"/>
        <scheme val="minor"/>
      </rPr>
      <t xml:space="preserve"> 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E-bike 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placeholders under big card
4. Style </t>
    </r>
    <r>
      <rPr>
        <b/>
        <sz val="11"/>
        <color theme="1"/>
        <rFont val="Calibri"/>
        <family val="2"/>
        <scheme val="minor"/>
      </rPr>
      <t>Book This E-Bike</t>
    </r>
    <r>
      <rPr>
        <sz val="11"/>
        <color theme="1"/>
        <rFont val="Calibri"/>
        <family val="2"/>
        <scheme val="minor"/>
      </rPr>
      <t xml:space="preserve"> button as primary
5. Add Subheading: </t>
    </r>
    <r>
      <rPr>
        <b/>
        <sz val="11"/>
        <color theme="1"/>
        <rFont val="Calibri"/>
        <family val="2"/>
        <scheme val="minor"/>
      </rPr>
      <t xml:space="preserve">Similar E-Bikes </t>
    </r>
    <r>
      <rPr>
        <sz val="11"/>
        <color theme="1"/>
        <rFont val="Calibri"/>
        <family val="2"/>
        <scheme val="minor"/>
      </rPr>
      <t>under the button</t>
    </r>
  </si>
  <si>
    <r>
      <t xml:space="preserve">1. Render the cheapest E-Bike's 
- </t>
    </r>
    <r>
      <rPr>
        <b/>
        <sz val="11"/>
        <color theme="1"/>
        <rFont val="Calibri"/>
        <family val="2"/>
        <scheme val="minor"/>
      </rPr>
      <t>enlarged image</t>
    </r>
    <r>
      <rPr>
        <sz val="11"/>
        <color theme="1"/>
        <rFont val="Calibri"/>
        <family val="2"/>
        <scheme val="minor"/>
      </rPr>
      <t xml:space="preserve"> as the card's background image (occupying 100% of the card)
- </t>
    </r>
    <r>
      <rPr>
        <b/>
        <sz val="11"/>
        <color theme="1"/>
        <rFont val="Calibri"/>
        <family val="2"/>
        <scheme val="minor"/>
      </rPr>
      <t>name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rating</t>
    </r>
    <r>
      <rPr>
        <sz val="11"/>
        <color theme="1"/>
        <rFont val="Calibri"/>
        <family val="2"/>
        <scheme val="minor"/>
      </rPr>
      <t xml:space="preserve"> with (</t>
    </r>
    <r>
      <rPr>
        <b/>
        <sz val="11"/>
        <color theme="1"/>
        <rFont val="Calibri"/>
        <family val="2"/>
        <scheme val="minor"/>
      </rPr>
      <t>no. of ratings</t>
    </r>
    <r>
      <rPr>
        <sz val="11"/>
        <color theme="1"/>
        <rFont val="Calibri"/>
        <family val="2"/>
        <scheme val="minor"/>
      </rPr>
      <t xml:space="preserve">) in the lowest sub-section of the card with 85% opacity.
2.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E-bike 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of the cheapest e-bike under the card
3.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Wire </t>
    </r>
    <r>
      <rPr>
        <b/>
        <sz val="11"/>
        <color theme="1"/>
        <rFont val="Calibri"/>
        <family val="2"/>
        <scheme val="minor"/>
      </rPr>
      <t xml:space="preserve">Book This E-Bike </t>
    </r>
    <r>
      <rPr>
        <sz val="11"/>
        <color theme="1"/>
        <rFont val="Calibri"/>
        <family val="2"/>
        <scheme val="minor"/>
      </rPr>
      <t xml:space="preserve">button to the highlighted bike
</t>
    </r>
  </si>
  <si>
    <t>RenterE-BikeBookingConfirmation</t>
  </si>
  <si>
    <r>
      <t xml:space="preserve">1.  </t>
    </r>
    <r>
      <rPr>
        <b/>
        <u/>
        <sz val="11"/>
        <color theme="1"/>
        <rFont val="Calibri"/>
        <family val="2"/>
        <scheme val="minor"/>
      </rPr>
      <t>View Owner's Profile</t>
    </r>
    <r>
      <rPr>
        <sz val="11"/>
        <color theme="1"/>
        <rFont val="Calibri"/>
        <family val="2"/>
        <scheme val="minor"/>
      </rPr>
      <t xml:space="preserve"> onClick navigate to </t>
    </r>
    <r>
      <rPr>
        <b/>
        <sz val="11"/>
        <color theme="1"/>
        <rFont val="Calibri"/>
        <family val="2"/>
        <scheme val="minor"/>
      </rPr>
      <t>RenterE-BikeBooking-SelectedBike'sOwnerDetails s</t>
    </r>
    <r>
      <rPr>
        <sz val="11"/>
        <color theme="1"/>
        <rFont val="Calibri"/>
        <family val="2"/>
        <scheme val="minor"/>
      </rPr>
      <t xml:space="preserve">creen
2.  </t>
    </r>
    <r>
      <rPr>
        <u/>
        <sz val="11"/>
        <color theme="1"/>
        <rFont val="Calibri"/>
        <family val="2"/>
        <scheme val="minor"/>
      </rPr>
      <t>Learn More</t>
    </r>
    <r>
      <rPr>
        <sz val="11"/>
        <color theme="1"/>
        <rFont val="Calibri"/>
        <family val="2"/>
        <scheme val="minor"/>
      </rPr>
      <t xml:space="preserve"> and </t>
    </r>
    <r>
      <rPr>
        <u/>
        <sz val="11"/>
        <color theme="1"/>
        <rFont val="Calibri"/>
        <family val="2"/>
        <scheme val="minor"/>
      </rPr>
      <t>Insurance</t>
    </r>
    <r>
      <rPr>
        <sz val="11"/>
        <color theme="1"/>
        <rFont val="Calibri"/>
        <family val="2"/>
        <scheme val="minor"/>
      </rPr>
      <t xml:space="preserve"> hyperlink onClick navigate to </t>
    </r>
    <r>
      <rPr>
        <b/>
        <sz val="11"/>
        <color theme="1"/>
        <rFont val="Calibri"/>
        <family val="2"/>
        <scheme val="minor"/>
      </rPr>
      <t>RenterE-BikeBookingInsuranceDetails</t>
    </r>
    <r>
      <rPr>
        <sz val="11"/>
        <color theme="1"/>
        <rFont val="Calibri"/>
        <family val="2"/>
        <scheme val="minor"/>
      </rPr>
      <t xml:space="preserve"> screen
3. Disable onClick of </t>
    </r>
    <r>
      <rPr>
        <b/>
        <sz val="11"/>
        <color theme="1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button until checkbox is not checked
4. If checked, onClick </t>
    </r>
    <r>
      <rPr>
        <b/>
        <sz val="11"/>
        <color theme="1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button navigate to </t>
    </r>
    <r>
      <rPr>
        <b/>
        <sz val="11"/>
        <color theme="1"/>
        <rFont val="Calibri"/>
        <family val="2"/>
        <scheme val="minor"/>
      </rPr>
      <t xml:space="preserve">RenterBookedE-BikesList </t>
    </r>
    <r>
      <rPr>
        <sz val="11"/>
        <color theme="1"/>
        <rFont val="Calibri"/>
        <family val="2"/>
        <scheme val="minor"/>
      </rPr>
      <t>screen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</si>
  <si>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RenterE-BikeBookingConfirmation</t>
    </r>
    <r>
      <rPr>
        <sz val="11"/>
        <color theme="1"/>
        <rFont val="Calibri"/>
        <family val="2"/>
        <scheme val="minor"/>
      </rPr>
      <t xml:space="preserve"> screen component/layout:
1. Render the selected E-Bike's 
- enlarged image as the card's background image (occupying 100% of the card)
- name, rating with (no. of ratings) in the lowest sub-section of the card with 85% opacity.
2.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E-bike 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 range of booking</t>
    </r>
    <r>
      <rPr>
        <sz val="11"/>
        <color theme="1"/>
        <rFont val="Calibri"/>
        <family val="2"/>
        <scheme val="minor"/>
      </rPr>
      <t xml:space="preserve"> (From-To) of the cheapest e-bike under the card
3.</t>
    </r>
    <r>
      <rPr>
        <b/>
        <sz val="11"/>
        <color theme="1"/>
        <rFont val="Calibri"/>
        <family val="2"/>
        <scheme val="minor"/>
      </rPr>
      <t xml:space="preserve"> </t>
    </r>
    <r>
      <rPr>
        <b/>
        <u/>
        <sz val="11"/>
        <color theme="1"/>
        <rFont val="Calibri"/>
        <family val="2"/>
        <scheme val="minor"/>
      </rPr>
      <t>View Owner's Profile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clickable hyperlink
4. </t>
    </r>
    <r>
      <rPr>
        <b/>
        <sz val="11"/>
        <color theme="1"/>
        <rFont val="Calibri"/>
        <family val="2"/>
        <scheme val="minor"/>
      </rPr>
      <t>Insurance Requirements</t>
    </r>
    <r>
      <rPr>
        <sz val="11"/>
        <color theme="1"/>
        <rFont val="Calibri"/>
        <family val="2"/>
        <scheme val="minor"/>
      </rPr>
      <t xml:space="preserve"> section with 2-3 lines of the document, ending with </t>
    </r>
    <r>
      <rPr>
        <u/>
        <sz val="11"/>
        <color theme="1"/>
        <rFont val="Calibri"/>
        <family val="2"/>
        <scheme val="minor"/>
      </rPr>
      <t>Learn More</t>
    </r>
    <r>
      <rPr>
        <sz val="11"/>
        <color theme="1"/>
        <rFont val="Calibri"/>
        <family val="2"/>
        <scheme val="minor"/>
      </rPr>
      <t xml:space="preserve"> hyperlink
5. A checkbox with "Purchase mandatory </t>
    </r>
    <r>
      <rPr>
        <u/>
        <sz val="11"/>
        <color theme="1"/>
        <rFont val="Calibri"/>
        <family val="2"/>
        <scheme val="minor"/>
      </rPr>
      <t>Insurance</t>
    </r>
    <r>
      <rPr>
        <sz val="11"/>
        <color theme="1"/>
        <rFont val="Calibri"/>
        <family val="2"/>
        <scheme val="minor"/>
      </rPr>
      <t xml:space="preserve">" (Insurance is hyperlink)
6. A primary button </t>
    </r>
    <r>
      <rPr>
        <b/>
        <sz val="11"/>
        <color theme="1"/>
        <rFont val="Calibri"/>
        <family val="2"/>
        <scheme val="minor"/>
      </rPr>
      <t>Book</t>
    </r>
  </si>
  <si>
    <t>RenterE-BikeBooking-SelectedBike'sOwnerDetails</t>
  </si>
  <si>
    <t>RenterE-BikeBookingInsuranceDetails</t>
  </si>
  <si>
    <r>
      <t xml:space="preserve">In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 component/layout, create:
1. Heading: "</t>
    </r>
    <r>
      <rPr>
        <b/>
        <sz val="11"/>
        <color theme="1"/>
        <rFont val="Calibri"/>
        <family val="2"/>
        <scheme val="minor"/>
      </rPr>
      <t>Welcome username</t>
    </r>
    <r>
      <rPr>
        <sz val="11"/>
        <color theme="1"/>
        <rFont val="Calibri"/>
        <family val="2"/>
        <scheme val="minor"/>
      </rPr>
      <t>"
2. Subheading: "B</t>
    </r>
    <r>
      <rPr>
        <b/>
        <sz val="11"/>
        <color theme="1"/>
        <rFont val="Calibri"/>
        <family val="2"/>
        <scheme val="minor"/>
      </rPr>
      <t>ook an E-Bike</t>
    </r>
    <r>
      <rPr>
        <sz val="11"/>
        <color theme="1"/>
        <rFont val="Calibri"/>
        <family val="2"/>
        <scheme val="minor"/>
      </rPr>
      <t xml:space="preserve">"
3. Implement </t>
    </r>
    <r>
      <rPr>
        <b/>
        <sz val="11"/>
        <color theme="1"/>
        <rFont val="Calibri"/>
        <family val="2"/>
        <scheme val="minor"/>
      </rPr>
      <t>From</t>
    </r>
    <r>
      <rPr>
        <sz val="11"/>
        <color theme="1"/>
        <rFont val="Calibri"/>
        <family val="2"/>
        <scheme val="minor"/>
      </rPr>
      <t xml:space="preserve"> Date picker with validation (cannot select past dates) &amp; </t>
    </r>
    <r>
      <rPr>
        <b/>
        <sz val="11"/>
        <color theme="1"/>
        <rFont val="Calibri"/>
        <family val="2"/>
        <scheme val="minor"/>
      </rPr>
      <t>To</t>
    </r>
    <r>
      <rPr>
        <sz val="11"/>
        <color theme="1"/>
        <rFont val="Calibri"/>
        <family val="2"/>
        <scheme val="minor"/>
      </rPr>
      <t xml:space="preserve"> Date picker with validation (&gt;= </t>
    </r>
    <r>
      <rPr>
        <b/>
        <sz val="11"/>
        <color theme="1"/>
        <rFont val="Calibri"/>
        <family val="2"/>
        <scheme val="minor"/>
      </rPr>
      <t>From</t>
    </r>
    <r>
      <rPr>
        <sz val="11"/>
        <color theme="1"/>
        <rFont val="Calibri"/>
        <family val="2"/>
        <scheme val="minor"/>
      </rPr>
      <t xml:space="preserve"> Date).
4. Implement </t>
    </r>
    <r>
      <rPr>
        <b/>
        <sz val="11"/>
        <color theme="1"/>
        <rFont val="Calibri"/>
        <family val="2"/>
        <scheme val="minor"/>
      </rPr>
      <t>Price Range</t>
    </r>
    <r>
      <rPr>
        <sz val="11"/>
        <color theme="1"/>
        <rFont val="Calibri"/>
        <family val="2"/>
        <scheme val="minor"/>
      </rPr>
      <t xml:space="preserve"> slider (per week) with min/max labels.
5. </t>
    </r>
    <r>
      <rPr>
        <b/>
        <sz val="11"/>
        <color theme="1"/>
        <rFont val="Calibri"/>
        <family val="2"/>
        <scheme val="minor"/>
      </rPr>
      <t>Category</t>
    </r>
    <r>
      <rPr>
        <sz val="11"/>
        <color theme="1"/>
        <rFont val="Calibri"/>
        <family val="2"/>
        <scheme val="minor"/>
      </rPr>
      <t xml:space="preserve"> box with dropdown for bike types (enum)
6.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 - Location Picker
7. Persist filter state locally while navigating.
8. Style </t>
    </r>
    <r>
      <rPr>
        <b/>
        <sz val="11"/>
        <color theme="1"/>
        <rFont val="Calibri"/>
        <family val="2"/>
        <scheme val="minor"/>
      </rPr>
      <t>Continue</t>
    </r>
    <r>
      <rPr>
        <sz val="11"/>
        <color theme="1"/>
        <rFont val="Calibri"/>
        <family val="2"/>
        <scheme val="minor"/>
      </rPr>
      <t xml:space="preserve"> button as primary
9. Style </t>
    </r>
    <r>
      <rPr>
        <b/>
        <sz val="11"/>
        <color theme="1"/>
        <rFont val="Calibri"/>
        <family val="2"/>
        <scheme val="minor"/>
      </rPr>
      <t>Visit My Bookings</t>
    </r>
    <r>
      <rPr>
        <sz val="11"/>
        <color theme="1"/>
        <rFont val="Calibri"/>
        <family val="2"/>
        <scheme val="minor"/>
      </rPr>
      <t xml:space="preserve"> button as secondary
10. Navigate from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→ </t>
    </r>
    <r>
      <rPr>
        <b/>
        <sz val="11"/>
        <color theme="1"/>
        <rFont val="Calibri"/>
        <family val="2"/>
        <scheme val="minor"/>
      </rPr>
      <t>RenterE-BikeBooking-BikeDetails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Continue</t>
    </r>
    <r>
      <rPr>
        <sz val="11"/>
        <color theme="1"/>
        <rFont val="Calibri"/>
        <family val="2"/>
        <scheme val="minor"/>
      </rPr>
      <t xml:space="preserve"> button press
11. Navigate from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→ </t>
    </r>
    <r>
      <rPr>
        <b/>
        <sz val="11"/>
        <color theme="1"/>
        <rFont val="Calibri"/>
        <family val="2"/>
        <scheme val="minor"/>
      </rPr>
      <t>RenterBookedBikesList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Visit My Bookings</t>
    </r>
    <r>
      <rPr>
        <sz val="11"/>
        <color theme="1"/>
        <rFont val="Calibri"/>
        <family val="2"/>
        <scheme val="minor"/>
      </rPr>
      <t xml:space="preserve"> button press</t>
    </r>
  </si>
  <si>
    <r>
      <t xml:space="preserve">1. Accept filter values (dates, price, category, location) from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
2. Fetch / mock list of available e-bikes
3. Apply filters to e-bike dataset
4. Sort matching bikes in ascending order of weekly price
5. Identify cheapest bike from filtered results
6. If no results, show message: “</t>
    </r>
    <r>
      <rPr>
        <b/>
        <sz val="11"/>
        <color rgb="FFFF0000"/>
        <rFont val="Calibri"/>
        <family val="2"/>
        <scheme val="minor"/>
      </rPr>
      <t>No E-Bikes found! Consider increasing your budget.</t>
    </r>
    <r>
      <rPr>
        <sz val="11"/>
        <color theme="1"/>
        <rFont val="Calibri"/>
        <family val="2"/>
        <scheme val="minor"/>
      </rPr>
      <t>”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</si>
  <si>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RenterE-BikeBooking-SelectedBike'sOwnerDetails</t>
    </r>
    <r>
      <rPr>
        <sz val="11"/>
        <color theme="1"/>
        <rFont val="Calibri"/>
        <family val="2"/>
        <scheme val="minor"/>
      </rPr>
      <t xml:space="preserve"> screen component/layout:
</t>
    </r>
    <r>
      <rPr>
        <sz val="11"/>
        <color rgb="FFFF0000"/>
        <rFont val="Calibri"/>
        <family val="2"/>
        <scheme val="minor"/>
      </rPr>
      <t xml:space="preserve">1. Fetch and render the selected E-Bike's  owner's name as heading
2. Render owner's image as avatar
3. Render a text field for the user to type something </t>
    </r>
    <r>
      <rPr>
        <b/>
        <sz val="11"/>
        <color rgb="FFFF0000"/>
        <rFont val="Calibri"/>
        <family val="2"/>
        <scheme val="minor"/>
      </rPr>
      <t>&lt;=200</t>
    </r>
    <r>
      <rPr>
        <sz val="11"/>
        <color rgb="FFFF0000"/>
        <rFont val="Calibri"/>
        <family val="2"/>
        <scheme val="minor"/>
      </rPr>
      <t xml:space="preserve"> characters
4. Render </t>
    </r>
    <r>
      <rPr>
        <b/>
        <sz val="11"/>
        <color rgb="FFFF0000"/>
        <rFont val="Calibri"/>
        <family val="2"/>
        <scheme val="minor"/>
      </rPr>
      <t xml:space="preserve">Bikes Listed: </t>
    </r>
    <r>
      <rPr>
        <sz val="11"/>
        <color rgb="FFFF0000"/>
        <rFont val="Calibri"/>
        <family val="2"/>
        <scheme val="minor"/>
      </rPr>
      <t xml:space="preserve">section that displays the number of bikes listed by owner
5. Rating and no. of ratings
6. </t>
    </r>
    <r>
      <rPr>
        <u/>
        <sz val="11"/>
        <color rgb="FFFF0000"/>
        <rFont val="Calibri"/>
        <family val="2"/>
        <scheme val="minor"/>
      </rPr>
      <t>Community Activities</t>
    </r>
    <r>
      <rPr>
        <sz val="11"/>
        <color rgb="FFFF0000"/>
        <rFont val="Calibri"/>
        <family val="2"/>
        <scheme val="minor"/>
      </rPr>
      <t xml:space="preserve"> hyperlink navigates to the owner's community </t>
    </r>
    <r>
      <rPr>
        <sz val="11"/>
        <rFont val="Calibri"/>
        <family val="2"/>
        <scheme val="minor"/>
      </rPr>
      <t xml:space="preserve">activities
7. Render an </t>
    </r>
    <r>
      <rPr>
        <b/>
        <sz val="11"/>
        <rFont val="Calibri"/>
        <family val="2"/>
        <scheme val="minor"/>
      </rPr>
      <t>Ok</t>
    </r>
    <r>
      <rPr>
        <sz val="11"/>
        <rFont val="Calibri"/>
        <family val="2"/>
        <scheme val="minor"/>
      </rPr>
      <t xml:space="preserve"> primary button that navigates back to </t>
    </r>
    <r>
      <rPr>
        <b/>
        <sz val="11"/>
        <rFont val="Calibri"/>
        <family val="2"/>
        <scheme val="minor"/>
      </rPr>
      <t>RenterE-BikeBookingConfirmation</t>
    </r>
    <r>
      <rPr>
        <sz val="11"/>
        <rFont val="Calibri"/>
        <family val="2"/>
        <scheme val="minor"/>
      </rPr>
      <t xml:space="preserve"> screen</t>
    </r>
    <r>
      <rPr>
        <b/>
        <sz val="11"/>
        <color theme="1"/>
        <rFont val="Calibri"/>
        <family val="2"/>
        <scheme val="minor"/>
      </rPr>
      <t xml:space="preserve">
TO BE JUST AN EMPTY SCREEN WITH THE Ok BUTTON UNTIL FINALIZED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</si>
  <si>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RenterE-BikeBookingInsuranceDetails</t>
    </r>
    <r>
      <rPr>
        <sz val="11"/>
        <color theme="1"/>
        <rFont val="Calibri"/>
        <family val="2"/>
        <scheme val="minor"/>
      </rPr>
      <t xml:space="preserve"> screen component/layout:
</t>
    </r>
    <r>
      <rPr>
        <sz val="11"/>
        <rFont val="Calibri"/>
        <family val="2"/>
        <scheme val="minor"/>
      </rPr>
      <t xml:space="preserve">1. Render </t>
    </r>
    <r>
      <rPr>
        <b/>
        <sz val="11"/>
        <rFont val="Calibri"/>
        <family val="2"/>
        <scheme val="minor"/>
      </rPr>
      <t>Insurance Details</t>
    </r>
    <r>
      <rPr>
        <sz val="11"/>
        <rFont val="Calibri"/>
        <family val="2"/>
        <scheme val="minor"/>
      </rPr>
      <t xml:space="preserve"> as heading
2. Render the whole insurance document inside a scrollable iist component.
3. Render an </t>
    </r>
    <r>
      <rPr>
        <b/>
        <sz val="11"/>
        <rFont val="Calibri"/>
        <family val="2"/>
        <scheme val="minor"/>
      </rPr>
      <t>Ok</t>
    </r>
    <r>
      <rPr>
        <sz val="11"/>
        <rFont val="Calibri"/>
        <family val="2"/>
        <scheme val="minor"/>
      </rPr>
      <t xml:space="preserve"> primary button that navigates back to </t>
    </r>
    <r>
      <rPr>
        <b/>
        <sz val="11"/>
        <rFont val="Calibri"/>
        <family val="2"/>
        <scheme val="minor"/>
      </rPr>
      <t>RenterE-BikeBookingConfirmation</t>
    </r>
    <r>
      <rPr>
        <sz val="11"/>
        <rFont val="Calibri"/>
        <family val="2"/>
        <scheme val="minor"/>
      </rPr>
      <t xml:space="preserve"> screen</t>
    </r>
  </si>
  <si>
    <t>Backend Dev</t>
  </si>
  <si>
    <r>
      <t xml:space="preserve">Create </t>
    </r>
    <r>
      <rPr>
        <b/>
        <sz val="11"/>
        <color theme="1"/>
        <rFont val="Calibri"/>
        <family val="2"/>
        <scheme val="minor"/>
      </rPr>
      <t>GET /api/users/{ownerId}/public-profile</t>
    </r>
    <r>
      <rPr>
        <sz val="11"/>
        <color theme="1"/>
        <rFont val="Calibri"/>
        <family val="2"/>
        <scheme val="minor"/>
      </rPr>
      <t xml:space="preserve"> Endpoint
1. Logic: Query user table for public fields only.
2. Output: </t>
    </r>
    <r>
      <rPr>
        <b/>
        <sz val="11"/>
        <color theme="1"/>
        <rFont val="Calibri"/>
        <family val="2"/>
        <scheme val="minor"/>
      </rPr>
      <t>name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avatarUrl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bio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bikesListedCount</t>
    </r>
    <r>
      <rPr>
        <sz val="11"/>
        <color theme="1"/>
        <rFont val="Calibri"/>
        <family val="2"/>
        <scheme val="minor"/>
      </rPr>
      <t xml:space="preserve"> (aggregate query), </t>
    </r>
    <r>
      <rPr>
        <b/>
        <sz val="11"/>
        <color theme="1"/>
        <rFont val="Calibri"/>
        <family val="2"/>
        <scheme val="minor"/>
      </rPr>
      <t>rating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communityProfileUrl</t>
    </r>
    <r>
      <rPr>
        <sz val="11"/>
        <color theme="1"/>
        <rFont val="Calibri"/>
        <family val="2"/>
        <scheme val="minor"/>
      </rPr>
      <t>.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</si>
  <si>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GET /api/content/insurance-policy</t>
    </r>
    <r>
      <rPr>
        <sz val="11"/>
        <color theme="1"/>
        <rFont val="Calibri"/>
        <family val="2"/>
        <scheme val="minor"/>
      </rPr>
      <t xml:space="preserve"> Endpoint:
1. Logic: Fetch the current active insurance policy text/HTML from a CMS or config file (allows updating policy without app store releases).</t>
    </r>
  </si>
  <si>
    <r>
      <t>Create</t>
    </r>
    <r>
      <rPr>
        <b/>
        <sz val="11"/>
        <color theme="1"/>
        <rFont val="Calibri"/>
        <family val="2"/>
        <scheme val="minor"/>
      </rPr>
      <t xml:space="preserve"> GET /api/bikes/search</t>
    </r>
    <r>
      <rPr>
        <sz val="11"/>
        <color theme="1"/>
        <rFont val="Calibri"/>
        <family val="2"/>
        <scheme val="minor"/>
      </rPr>
      <t xml:space="preserve"> Endpoint
1. Input (Query Params): </t>
    </r>
    <r>
      <rPr>
        <b/>
        <sz val="11"/>
        <color theme="1"/>
        <rFont val="Calibri"/>
        <family val="2"/>
        <scheme val="minor"/>
      </rPr>
      <t>startDate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endDate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minPrice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maxPrice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category</t>
    </r>
    <r>
      <rPr>
        <sz val="11"/>
        <color theme="1"/>
        <rFont val="Calibri"/>
        <family val="2"/>
        <scheme val="minor"/>
      </rPr>
      <t xml:space="preserve"> (e-bike type), </t>
    </r>
    <r>
      <rPr>
        <b/>
        <sz val="11"/>
        <color theme="1"/>
        <rFont val="Calibri"/>
        <family val="2"/>
        <scheme val="minor"/>
      </rPr>
      <t>location</t>
    </r>
    <r>
      <rPr>
        <sz val="11"/>
        <color theme="1"/>
        <rFont val="Calibri"/>
        <family val="2"/>
        <scheme val="minor"/>
      </rPr>
      <t xml:space="preserve"> (lat/long or cityId).
2. Logic:
- Filter bikes by availability (exclude bikes booked during startDate to endDate).
- Filter by price range and category.
- Sorting: Implement strict SQL sorting: ORDER BY price ASC.
3. Output: List of Bike objects (thumbnail, name, price, rating).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</si>
  <si>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GET /api/bikes/{id} Endpoint</t>
    </r>
    <r>
      <rPr>
        <sz val="11"/>
        <color theme="1"/>
        <rFont val="Calibri"/>
        <family val="2"/>
        <scheme val="minor"/>
      </rPr>
      <t xml:space="preserve">
1. Logic: Fetch full details for a specific bike.
2. Output: Detailed JSON including specifications, full image URLs, and nested owner summary object.</t>
    </r>
  </si>
  <si>
    <t xml:space="preserve">RenterBookedBikesList </t>
  </si>
  <si>
    <r>
      <t xml:space="preserve">If the Purchase mandatory insurance checkbox is checked, pressing Book button navigates to </t>
    </r>
    <r>
      <rPr>
        <b/>
        <sz val="11"/>
        <color theme="1"/>
        <rFont val="Calibri"/>
        <family val="2"/>
        <scheme val="minor"/>
      </rPr>
      <t>RenterBookedBikesList</t>
    </r>
    <r>
      <rPr>
        <sz val="11"/>
        <color theme="1"/>
        <rFont val="Calibri"/>
        <family val="2"/>
        <scheme val="minor"/>
      </rPr>
      <t xml:space="preserve"> screen. If not, alert: Purchase the insurance to continue</t>
    </r>
  </si>
  <si>
    <r>
      <t xml:space="preserve">Render e-bikes filtered by the date entered in list of clickable cards with E-bike </t>
    </r>
    <r>
      <rPr>
        <b/>
        <sz val="11"/>
        <color theme="1"/>
        <rFont val="Calibri"/>
        <family val="2"/>
        <scheme val="minor"/>
      </rPr>
      <t>name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Circular thumbnail</t>
    </r>
    <r>
      <rPr>
        <sz val="11"/>
        <color theme="1"/>
        <rFont val="Calibri"/>
        <family val="2"/>
        <scheme val="minor"/>
      </rPr>
      <t xml:space="preserve"> of the E-Bike, </t>
    </r>
    <r>
      <rPr>
        <b/>
        <sz val="11"/>
        <color theme="1"/>
        <rFont val="Calibri"/>
        <family val="2"/>
        <scheme val="minor"/>
      </rPr>
      <t>rating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 Range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E-bike </t>
    </r>
    <r>
      <rPr>
        <b/>
        <sz val="11"/>
        <color theme="1"/>
        <rFont val="Calibri"/>
        <family val="2"/>
        <scheme val="minor"/>
      </rPr>
      <t>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 in the cards</t>
    </r>
  </si>
  <si>
    <t>Render "You do not have an active booking for these dates!" instead of the list of scrollable cards, if no results found</t>
  </si>
  <si>
    <r>
      <t xml:space="preserve">Create </t>
    </r>
    <r>
      <rPr>
        <b/>
        <sz val="11"/>
        <rFont val="Calibri"/>
        <family val="2"/>
        <scheme val="minor"/>
      </rPr>
      <t>POST /api/bookings</t>
    </r>
    <r>
      <rPr>
        <sz val="11"/>
        <rFont val="Calibri"/>
        <family val="2"/>
        <scheme val="minor"/>
      </rPr>
      <t xml:space="preserve"> Endpoint
1. Input: </t>
    </r>
    <r>
      <rPr>
        <b/>
        <sz val="11"/>
        <rFont val="Calibri"/>
        <family val="2"/>
        <scheme val="minor"/>
      </rPr>
      <t>bikeId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renterId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startDate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endDate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insuranceAccepted</t>
    </r>
    <r>
      <rPr>
        <sz val="11"/>
        <rFont val="Calibri"/>
        <family val="2"/>
        <scheme val="minor"/>
      </rPr>
      <t xml:space="preserve"> (boolean).
2. Logic:
- Race Condition Check: Verify bike is still available for dates (lock row).
- Validation: Ensure insuranceAccepted is true.
- Transaction: Create Booking record with status CONFIRMED.
3.Output: bookingId, status.</t>
    </r>
  </si>
  <si>
    <r>
      <t xml:space="preserve">Create </t>
    </r>
    <r>
      <rPr>
        <b/>
        <sz val="11"/>
        <rFont val="Calibri"/>
        <family val="2"/>
        <scheme val="minor"/>
      </rPr>
      <t>GET /api/bookings/my-bookings</t>
    </r>
    <r>
      <rPr>
        <sz val="11"/>
        <rFont val="Calibri"/>
        <family val="2"/>
        <scheme val="minor"/>
      </rPr>
      <t xml:space="preserve"> Endpoint
1. Logic: Fetch all bookings for the authenticated renter.
2. Sorting: Sort by </t>
    </r>
    <r>
      <rPr>
        <b/>
        <sz val="11"/>
        <rFont val="Calibri"/>
        <family val="2"/>
        <scheme val="minor"/>
      </rPr>
      <t>startDate</t>
    </r>
    <r>
      <rPr>
        <sz val="11"/>
        <rFont val="Calibri"/>
        <family val="2"/>
        <scheme val="minor"/>
      </rPr>
      <t xml:space="preserve"> descending (newest/upcoming first).
3. Output: List of bookings with attached Bike metadata.</t>
    </r>
  </si>
  <si>
    <t>WIP</t>
  </si>
  <si>
    <t>Done</t>
  </si>
  <si>
    <t>Yes</t>
  </si>
  <si>
    <t>RenterBookedBikesList</t>
  </si>
  <si>
    <r>
      <t xml:space="preserve">Create </t>
    </r>
    <r>
      <rPr>
        <b/>
        <sz val="11"/>
        <color theme="1"/>
        <rFont val="Calibri"/>
        <family val="2"/>
        <scheme val="minor"/>
      </rPr>
      <t>RenterBookedBikesList</t>
    </r>
    <r>
      <rPr>
        <sz val="11"/>
        <color theme="1"/>
        <rFont val="Calibri"/>
        <family val="2"/>
        <scheme val="minor"/>
      </rPr>
      <t xml:space="preserve"> screen layout:
1. Render heading: "</t>
    </r>
    <r>
      <rPr>
        <b/>
        <sz val="11"/>
        <color theme="1"/>
        <rFont val="Calibri"/>
        <family val="2"/>
        <scheme val="minor"/>
      </rPr>
      <t>Welcome John</t>
    </r>
    <r>
      <rPr>
        <sz val="11"/>
        <color theme="1"/>
        <rFont val="Calibri"/>
        <family val="2"/>
        <scheme val="minor"/>
      </rPr>
      <t>"
2. Render sub-heading: "</t>
    </r>
    <r>
      <rPr>
        <b/>
        <sz val="11"/>
        <color theme="1"/>
        <rFont val="Calibri"/>
        <family val="2"/>
        <scheme val="minor"/>
      </rPr>
      <t>Your Bookings</t>
    </r>
    <r>
      <rPr>
        <sz val="11"/>
        <color theme="1"/>
        <rFont val="Calibri"/>
        <family val="2"/>
        <scheme val="minor"/>
      </rPr>
      <t xml:space="preserve">"
3. Implement </t>
    </r>
    <r>
      <rPr>
        <b/>
        <sz val="11"/>
        <color theme="1"/>
        <rFont val="Calibri"/>
        <family val="2"/>
        <scheme val="minor"/>
      </rPr>
      <t>From</t>
    </r>
    <r>
      <rPr>
        <sz val="11"/>
        <color theme="1"/>
        <rFont val="Calibri"/>
        <family val="2"/>
        <scheme val="minor"/>
      </rPr>
      <t xml:space="preserve"> Date picker with validation (cannot select past dates) &amp; </t>
    </r>
    <r>
      <rPr>
        <b/>
        <sz val="11"/>
        <color theme="1"/>
        <rFont val="Calibri"/>
        <family val="2"/>
        <scheme val="minor"/>
      </rPr>
      <t>To</t>
    </r>
    <r>
      <rPr>
        <sz val="11"/>
        <color theme="1"/>
        <rFont val="Calibri"/>
        <family val="2"/>
        <scheme val="minor"/>
      </rPr>
      <t xml:space="preserve"> Date picker with validation (&gt;= From Date).
4. Render the user's e-bikes in a list of clickable cards
5. Render </t>
    </r>
    <r>
      <rPr>
        <b/>
        <sz val="11"/>
        <color theme="1"/>
        <rFont val="Calibri"/>
        <family val="2"/>
        <scheme val="minor"/>
      </rPr>
      <t>Book an E-Bike</t>
    </r>
    <r>
      <rPr>
        <sz val="11"/>
        <color theme="1"/>
        <rFont val="Calibri"/>
        <family val="2"/>
        <scheme val="minor"/>
      </rPr>
      <t xml:space="preserve"> primary button
6. Navigate to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 onPress of </t>
    </r>
    <r>
      <rPr>
        <b/>
        <sz val="11"/>
        <color theme="1"/>
        <rFont val="Calibri"/>
        <family val="2"/>
        <scheme val="minor"/>
      </rPr>
      <t>Book an E-Bike</t>
    </r>
    <r>
      <rPr>
        <sz val="11"/>
        <color theme="1"/>
        <rFont val="Calibri"/>
        <family val="2"/>
        <scheme val="minor"/>
      </rPr>
      <t xml:space="preserve"> button</t>
    </r>
  </si>
  <si>
    <r>
      <t xml:space="preserve">Navigate to </t>
    </r>
    <r>
      <rPr>
        <b/>
        <sz val="11"/>
        <rFont val="Calibri"/>
        <family val="2"/>
        <scheme val="minor"/>
      </rPr>
      <t>RenterBookedE-BikeOptions</t>
    </r>
    <r>
      <rPr>
        <sz val="11"/>
        <rFont val="Calibri"/>
        <family val="2"/>
        <scheme val="minor"/>
      </rPr>
      <t xml:space="preserve"> screen onPress of listed cards, showing the details of respective e-bike</t>
    </r>
  </si>
  <si>
    <t>RenterBookedE-BikeOptions</t>
  </si>
  <si>
    <r>
      <t xml:space="preserve">Create </t>
    </r>
    <r>
      <rPr>
        <b/>
        <sz val="11"/>
        <color theme="1"/>
        <rFont val="Calibri"/>
        <family val="2"/>
        <scheme val="minor"/>
      </rPr>
      <t>RenterBookedE-BikeOptions</t>
    </r>
    <r>
      <rPr>
        <sz val="11"/>
        <color theme="1"/>
        <rFont val="Calibri"/>
        <family val="2"/>
        <scheme val="minor"/>
      </rPr>
      <t xml:space="preserve"> screen layout:
1. Render the booked E-Bike's 
- enlarged image as the card's background image (occupying 100% of the card)
- name, rating with (no. of ratings) in the lowest sub-section of the card with 85% opacity.
2.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E-bike </t>
    </r>
    <r>
      <rPr>
        <b/>
        <sz val="11"/>
        <color theme="1"/>
        <rFont val="Calibri"/>
        <family val="2"/>
        <scheme val="minor"/>
      </rPr>
      <t>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 range</t>
    </r>
    <r>
      <rPr>
        <sz val="11"/>
        <color theme="1"/>
        <rFont val="Calibri"/>
        <family val="2"/>
        <scheme val="minor"/>
      </rPr>
      <t xml:space="preserve"> of booking (From-To) of the cheapest e-bike under the card
3. </t>
    </r>
    <r>
      <rPr>
        <b/>
        <u/>
        <sz val="11"/>
        <color theme="1"/>
        <rFont val="Calibri"/>
        <family val="2"/>
        <scheme val="minor"/>
      </rPr>
      <t>View Owner's Profile</t>
    </r>
    <r>
      <rPr>
        <sz val="11"/>
        <color theme="1"/>
        <rFont val="Calibri"/>
        <family val="2"/>
        <scheme val="minor"/>
      </rPr>
      <t xml:space="preserve"> clickable hyperlink
4. </t>
    </r>
    <r>
      <rPr>
        <b/>
        <u/>
        <sz val="11"/>
        <color theme="1"/>
        <rFont val="Calibri"/>
        <family val="2"/>
        <scheme val="minor"/>
      </rPr>
      <t>Insurance Details</t>
    </r>
    <r>
      <rPr>
        <sz val="11"/>
        <color theme="1"/>
        <rFont val="Calibri"/>
        <family val="2"/>
        <scheme val="minor"/>
      </rPr>
      <t xml:space="preserve"> clickable hyperlink
5. </t>
    </r>
    <r>
      <rPr>
        <b/>
        <u/>
        <sz val="11"/>
        <color theme="1"/>
        <rFont val="Calibri"/>
        <family val="2"/>
        <scheme val="minor"/>
      </rPr>
      <t>Cancel Booking</t>
    </r>
    <r>
      <rPr>
        <sz val="11"/>
        <color theme="1"/>
        <rFont val="Calibri"/>
        <family val="2"/>
        <scheme val="minor"/>
      </rPr>
      <t xml:space="preserve"> clickable hyperlink</t>
    </r>
  </si>
  <si>
    <r>
      <t xml:space="preserve">Navigate to </t>
    </r>
    <r>
      <rPr>
        <b/>
        <sz val="11"/>
        <color theme="1"/>
        <rFont val="Calibri"/>
        <family val="2"/>
        <scheme val="minor"/>
      </rPr>
      <t>RenterBookedE-BikeCancellationOption</t>
    </r>
    <r>
      <rPr>
        <sz val="11"/>
        <color theme="1"/>
        <rFont val="Calibri"/>
        <family val="2"/>
        <scheme val="minor"/>
      </rPr>
      <t xml:space="preserve"> screen onPress of </t>
    </r>
    <r>
      <rPr>
        <b/>
        <u/>
        <sz val="11"/>
        <color theme="1"/>
        <rFont val="Calibri"/>
        <family val="2"/>
        <scheme val="minor"/>
      </rPr>
      <t>Cancel Booking</t>
    </r>
    <r>
      <rPr>
        <sz val="11"/>
        <color theme="1"/>
        <rFont val="Calibri"/>
        <family val="2"/>
        <scheme val="minor"/>
      </rPr>
      <t xml:space="preserve"> hyperlink</t>
    </r>
  </si>
  <si>
    <t>RenterBookedE-BikeCancellationOption</t>
  </si>
  <si>
    <r>
      <t xml:space="preserve">Create </t>
    </r>
    <r>
      <rPr>
        <b/>
        <sz val="11"/>
        <color theme="1"/>
        <rFont val="Calibri"/>
        <family val="2"/>
        <scheme val="minor"/>
      </rPr>
      <t>RenterBookedE-BikeCancellationOption</t>
    </r>
    <r>
      <rPr>
        <sz val="11"/>
        <color theme="1"/>
        <rFont val="Calibri"/>
        <family val="2"/>
        <scheme val="minor"/>
      </rPr>
      <t xml:space="preserve"> screen layout:
1. Render the booked E-Bike's 
- enlarged image as the card's background image (occupying 100% of the card)
- name, rating with (no. of ratings) in the lowest sub-section of the card with 85% opacity.
2. Render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Cancellation Charge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Return Amount</t>
    </r>
    <r>
      <rPr>
        <sz val="11"/>
        <color theme="1"/>
        <rFont val="Calibri"/>
        <family val="2"/>
        <scheme val="minor"/>
      </rPr>
      <t xml:space="preserve"> (price - cancellation charge)
3. Cancellation policy in a scrollable content with a </t>
    </r>
    <r>
      <rPr>
        <b/>
        <sz val="11"/>
        <color theme="1"/>
        <rFont val="Calibri"/>
        <family val="2"/>
        <scheme val="minor"/>
      </rPr>
      <t xml:space="preserve">Read more </t>
    </r>
    <r>
      <rPr>
        <sz val="11"/>
        <color theme="1"/>
        <rFont val="Calibri"/>
        <family val="2"/>
        <scheme val="minor"/>
      </rPr>
      <t xml:space="preserve">hyperlink
4. </t>
    </r>
    <r>
      <rPr>
        <b/>
        <sz val="11"/>
        <color theme="1"/>
        <rFont val="Calibri"/>
        <family val="2"/>
        <scheme val="minor"/>
      </rPr>
      <t>Confirm</t>
    </r>
    <r>
      <rPr>
        <sz val="11"/>
        <color theme="1"/>
        <rFont val="Calibri"/>
        <family val="2"/>
        <scheme val="minor"/>
      </rPr>
      <t xml:space="preserve"> secondary button
5. </t>
    </r>
    <r>
      <rPr>
        <b/>
        <sz val="11"/>
        <color theme="1"/>
        <rFont val="Calibri"/>
        <family val="2"/>
        <scheme val="minor"/>
      </rPr>
      <t xml:space="preserve">Do Not Cancel, Go Back </t>
    </r>
    <r>
      <rPr>
        <sz val="11"/>
        <color theme="1"/>
        <rFont val="Calibri"/>
        <family val="2"/>
        <scheme val="minor"/>
      </rPr>
      <t>primary button</t>
    </r>
  </si>
  <si>
    <r>
      <t xml:space="preserve">1. </t>
    </r>
    <r>
      <rPr>
        <b/>
        <sz val="11"/>
        <color theme="1"/>
        <rFont val="Calibri"/>
        <family val="2"/>
        <scheme val="minor"/>
      </rPr>
      <t xml:space="preserve">Confirm </t>
    </r>
    <r>
      <rPr>
        <sz val="11"/>
        <color theme="1"/>
        <rFont val="Calibri"/>
        <family val="2"/>
        <scheme val="minor"/>
      </rPr>
      <t>button onPress initiates cancellation (no function for now, (</t>
    </r>
    <r>
      <rPr>
        <b/>
        <sz val="11"/>
        <color theme="1"/>
        <rFont val="Calibri"/>
        <family val="2"/>
        <scheme val="minor"/>
      </rPr>
      <t>alert("Cancellation Confirmed")</t>
    </r>
    <r>
      <rPr>
        <sz val="11"/>
        <color theme="1"/>
        <rFont val="Calibri"/>
        <family val="2"/>
        <scheme val="minor"/>
      </rPr>
      <t xml:space="preserve">)
2. </t>
    </r>
    <r>
      <rPr>
        <b/>
        <sz val="11"/>
        <color theme="1"/>
        <rFont val="Calibri"/>
        <family val="2"/>
        <scheme val="minor"/>
      </rPr>
      <t>Do Not Cancel, Go Back</t>
    </r>
    <r>
      <rPr>
        <sz val="11"/>
        <color theme="1"/>
        <rFont val="Calibri"/>
        <family val="2"/>
        <scheme val="minor"/>
      </rPr>
      <t xml:space="preserve"> button onPress navigates back to </t>
    </r>
    <r>
      <rPr>
        <b/>
        <sz val="11"/>
        <color theme="1"/>
        <rFont val="Calibri"/>
        <family val="2"/>
        <scheme val="minor"/>
      </rPr>
      <t>RenterBookedE-BikeOptions</t>
    </r>
    <r>
      <rPr>
        <sz val="11"/>
        <color theme="1"/>
        <rFont val="Calibri"/>
        <family val="2"/>
        <scheme val="minor"/>
      </rPr>
      <t xml:space="preserve"> screen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</si>
  <si>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GET /api/bookings/{id}/cancellation-quote</t>
    </r>
    <r>
      <rPr>
        <sz val="11"/>
        <color theme="1"/>
        <rFont val="Calibri"/>
        <family val="2"/>
        <scheme val="minor"/>
      </rPr>
      <t xml:space="preserve"> Endpoint:
1. Logic: Calculate refund based on policy:
- If &gt;24h before: 100% refund.
- If &lt;24h before: X% penalty.
- If Mid-ride (User Story 3.13): Calculate pro-rated usage + penalty.
2. Output: </t>
    </r>
    <r>
      <rPr>
        <b/>
        <sz val="11"/>
        <color theme="1"/>
        <rFont val="Calibri"/>
        <family val="2"/>
        <scheme val="minor"/>
      </rPr>
      <t>refundAmount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cancellationFee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totalPaid</t>
    </r>
    <r>
      <rPr>
        <sz val="11"/>
        <color theme="1"/>
        <rFont val="Calibri"/>
        <family val="2"/>
        <scheme val="minor"/>
      </rPr>
      <t>.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</si>
  <si>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POST /api/bookings/{id}/cancel</t>
    </r>
    <r>
      <rPr>
        <sz val="11"/>
        <color theme="1"/>
        <rFont val="Calibri"/>
        <family val="2"/>
        <scheme val="minor"/>
      </rPr>
      <t xml:space="preserve"> Endpoint
1. Input: reason (optional).
2. Logic: Update status to </t>
    </r>
    <r>
      <rPr>
        <b/>
        <sz val="11"/>
        <color theme="1"/>
        <rFont val="Calibri"/>
        <family val="2"/>
        <scheme val="minor"/>
      </rPr>
      <t>CANCELLED</t>
    </r>
    <r>
      <rPr>
        <sz val="11"/>
        <color theme="1"/>
        <rFont val="Calibri"/>
        <family val="2"/>
        <scheme val="minor"/>
      </rPr>
      <t>, trigger Refund Service.</t>
    </r>
  </si>
  <si>
    <t>3.10</t>
  </si>
  <si>
    <r>
      <t xml:space="preserve">Create </t>
    </r>
    <r>
      <rPr>
        <b/>
        <sz val="11"/>
        <color theme="1"/>
        <rFont val="Calibri"/>
        <family val="2"/>
        <scheme val="minor"/>
      </rPr>
      <t>POST /api/bookings/{id}/issues</t>
    </r>
    <r>
      <rPr>
        <sz val="11"/>
        <color theme="1"/>
        <rFont val="Calibri"/>
        <family val="2"/>
        <scheme val="minor"/>
      </rPr>
      <t xml:space="preserve"> Endpoint
1. Type: Multipart/Form-Data.
2. Input: </t>
    </r>
    <r>
      <rPr>
        <b/>
        <sz val="11"/>
        <color theme="1"/>
        <rFont val="Calibri"/>
        <family val="2"/>
        <scheme val="minor"/>
      </rPr>
      <t>description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imageFile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type</t>
    </r>
    <r>
      <rPr>
        <sz val="11"/>
        <color theme="1"/>
        <rFont val="Calibri"/>
        <family val="2"/>
        <scheme val="minor"/>
      </rPr>
      <t xml:space="preserve"> (Pre-ride vs Mid-ride).
3. Logic: Upload image to storage (S3/Cloudinary), save URL, create </t>
    </r>
    <r>
      <rPr>
        <b/>
        <sz val="11"/>
        <color theme="1"/>
        <rFont val="Calibri"/>
        <family val="2"/>
        <scheme val="minor"/>
      </rPr>
      <t>Issue</t>
    </r>
    <r>
      <rPr>
        <sz val="11"/>
        <color theme="1"/>
        <rFont val="Calibri"/>
        <family val="2"/>
        <scheme val="minor"/>
      </rPr>
      <t xml:space="preserve"> record linked to booking.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</si>
  <si>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POST /api/bookings/{id}/start-ride</t>
    </r>
    <r>
      <rPr>
        <sz val="11"/>
        <color theme="1"/>
        <rFont val="Calibri"/>
        <family val="2"/>
        <scheme val="minor"/>
      </rPr>
      <t xml:space="preserve"> Endpoint
1. Logic: Validate booking is today. Update status to </t>
    </r>
    <r>
      <rPr>
        <b/>
        <sz val="11"/>
        <color theme="1"/>
        <rFont val="Calibri"/>
        <family val="2"/>
        <scheme val="minor"/>
      </rPr>
      <t>ACTIVE</t>
    </r>
    <r>
      <rPr>
        <sz val="11"/>
        <color theme="1"/>
        <rFont val="Calibri"/>
        <family val="2"/>
        <scheme val="minor"/>
      </rPr>
      <t>. Start "Ride Timer" (if applicable).</t>
    </r>
  </si>
  <si>
    <r>
      <t>Create</t>
    </r>
    <r>
      <rPr>
        <b/>
        <sz val="11"/>
        <color theme="1"/>
        <rFont val="Calibri"/>
        <family val="2"/>
        <scheme val="minor"/>
      </rPr>
      <t xml:space="preserve"> POST /api/incidents</t>
    </r>
    <r>
      <rPr>
        <sz val="11"/>
        <color theme="1"/>
        <rFont val="Calibri"/>
        <family val="2"/>
        <scheme val="minor"/>
      </rPr>
      <t xml:space="preserve"> Endpoint
1. Type: Multipart/Form-Data.
2. Logic: High-priority alert. Store incident report, trigger email/SMS to Support Team.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</si>
  <si>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POST /api/bookings/{id}/return-completion</t>
    </r>
    <r>
      <rPr>
        <sz val="11"/>
        <color theme="1"/>
        <rFont val="Calibri"/>
        <family val="2"/>
        <scheme val="minor"/>
      </rPr>
      <t xml:space="preserve"> Endpoint
1. Type: Multipart/Form-Data.
2. Input:</t>
    </r>
    <r>
      <rPr>
        <b/>
        <sz val="11"/>
        <color theme="1"/>
        <rFont val="Calibri"/>
        <family val="2"/>
        <scheme val="minor"/>
      </rPr>
      <t xml:space="preserve"> returnImage, rating</t>
    </r>
    <r>
      <rPr>
        <sz val="11"/>
        <color theme="1"/>
        <rFont val="Calibri"/>
        <family val="2"/>
        <scheme val="minor"/>
      </rPr>
      <t xml:space="preserve"> (1-5), </t>
    </r>
    <r>
      <rPr>
        <b/>
        <sz val="11"/>
        <color theme="1"/>
        <rFont val="Calibri"/>
        <family val="2"/>
        <scheme val="minor"/>
      </rPr>
      <t>reviewComment</t>
    </r>
    <r>
      <rPr>
        <sz val="11"/>
        <color theme="1"/>
        <rFont val="Calibri"/>
        <family val="2"/>
        <scheme val="minor"/>
      </rPr>
      <t xml:space="preserve">.
3. Logic:
- Upload return proof image.
- Update booking status to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>.
- Update Bike Owner's aggregate rating.
- Trigger "Successfully Returned!" notification to Owner.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</si>
</sst>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0" fontId="0" fillId="4" borderId="1" xfId="0" applyFill="1" applyBorder="1"/>
    <xf numFmtId="0" fontId="0" fillId="4" borderId="1" xfId="0" applyFill="1" applyBorder="1" applyAlignment="1">
      <alignment wrapText="1"/>
    </xf>
    <xf numFmtId="0" fontId="0" fillId="6" borderId="0" xfId="0" applyFill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left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left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 wrapText="1"/>
    </xf>
    <xf numFmtId="0" fontId="0" fillId="11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left" vertical="center" wrapText="1"/>
    </xf>
    <xf numFmtId="0" fontId="0" fillId="12" borderId="1" xfId="0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left" vertical="center" wrapText="1"/>
    </xf>
    <xf numFmtId="0" fontId="0" fillId="15" borderId="1" xfId="0" applyFill="1" applyBorder="1" applyAlignment="1">
      <alignment horizontal="center" vertical="center" wrapText="1"/>
    </xf>
    <xf numFmtId="0" fontId="0" fillId="15" borderId="1" xfId="0" applyFill="1" applyBorder="1" applyAlignment="1">
      <alignment horizontal="left" vertical="center" wrapText="1"/>
    </xf>
    <xf numFmtId="0" fontId="0" fillId="16" borderId="1" xfId="0" applyFill="1" applyBorder="1" applyAlignment="1">
      <alignment horizontal="center" vertical="center" wrapText="1"/>
    </xf>
    <xf numFmtId="0" fontId="0" fillId="16" borderId="1" xfId="0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2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0" fillId="9" borderId="4" xfId="0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0" fontId="0" fillId="10" borderId="4" xfId="0" applyFill="1" applyBorder="1" applyAlignment="1">
      <alignment horizontal="center" vertical="center" wrapText="1"/>
    </xf>
    <xf numFmtId="0" fontId="0" fillId="9" borderId="2" xfId="0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 vertical="center" wrapText="1"/>
    </xf>
    <xf numFmtId="0" fontId="0" fillId="9" borderId="4" xfId="0" applyFill="1" applyBorder="1" applyAlignment="1">
      <alignment horizontal="center" vertical="center" wrapText="1"/>
    </xf>
    <xf numFmtId="0" fontId="0" fillId="12" borderId="2" xfId="0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0" fontId="0" fillId="12" borderId="4" xfId="0" applyFill="1" applyBorder="1" applyAlignment="1">
      <alignment horizontal="center" vertical="center" wrapText="1"/>
    </xf>
    <xf numFmtId="0" fontId="0" fillId="10" borderId="2" xfId="0" applyFill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0" fontId="0" fillId="10" borderId="4" xfId="0" applyFill="1" applyBorder="1" applyAlignment="1">
      <alignment horizontal="center" vertical="center" wrapText="1"/>
    </xf>
    <xf numFmtId="0" fontId="0" fillId="14" borderId="2" xfId="0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0" fontId="0" fillId="14" borderId="4" xfId="0" applyFill="1" applyBorder="1" applyAlignment="1">
      <alignment horizontal="center" vertical="center" wrapText="1"/>
    </xf>
    <xf numFmtId="0" fontId="0" fillId="16" borderId="2" xfId="0" applyFill="1" applyBorder="1" applyAlignment="1">
      <alignment horizontal="center" vertical="center" wrapText="1"/>
    </xf>
    <xf numFmtId="0" fontId="0" fillId="16" borderId="3" xfId="0" applyFill="1" applyBorder="1" applyAlignment="1">
      <alignment horizontal="center" vertical="center" wrapText="1"/>
    </xf>
    <xf numFmtId="0" fontId="0" fillId="16" borderId="4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0" fillId="12" borderId="2" xfId="0" applyFill="1" applyBorder="1" applyAlignment="1">
      <alignment vertical="center" wrapText="1"/>
    </xf>
    <xf numFmtId="0" fontId="0" fillId="12" borderId="3" xfId="0" applyFill="1" applyBorder="1" applyAlignment="1">
      <alignment vertical="center" wrapText="1"/>
    </xf>
    <xf numFmtId="0" fontId="0" fillId="12" borderId="4" xfId="0" applyFill="1" applyBorder="1" applyAlignment="1">
      <alignment vertical="center" wrapText="1"/>
    </xf>
    <xf numFmtId="49" fontId="0" fillId="14" borderId="1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Actual Story Points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Sheet1!$B$2:$B$12</c:f>
              <c:numCache>
                <c:formatCode>General</c:formatCode>
                <c:ptCount val="11"/>
                <c:pt idx="0">
                  <c:v>156</c:v>
                </c:pt>
                <c:pt idx="1">
                  <c:v>156</c:v>
                </c:pt>
                <c:pt idx="2">
                  <c:v>156</c:v>
                </c:pt>
                <c:pt idx="3">
                  <c:v>156</c:v>
                </c:pt>
                <c:pt idx="4">
                  <c:v>156</c:v>
                </c:pt>
                <c:pt idx="5">
                  <c:v>148</c:v>
                </c:pt>
                <c:pt idx="6">
                  <c:v>148</c:v>
                </c:pt>
                <c:pt idx="7">
                  <c:v>148</c:v>
                </c:pt>
                <c:pt idx="8">
                  <c:v>148</c:v>
                </c:pt>
                <c:pt idx="9">
                  <c:v>148</c:v>
                </c:pt>
                <c:pt idx="10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A3-4D70-A15D-11D521EE13C6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Expected Story Points Left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Sheet1!$C$2:$C$12</c:f>
              <c:numCache>
                <c:formatCode>General</c:formatCode>
                <c:ptCount val="11"/>
                <c:pt idx="0">
                  <c:v>156</c:v>
                </c:pt>
                <c:pt idx="1">
                  <c:v>140.4</c:v>
                </c:pt>
                <c:pt idx="2">
                  <c:v>124.8</c:v>
                </c:pt>
                <c:pt idx="3">
                  <c:v>109.2</c:v>
                </c:pt>
                <c:pt idx="4">
                  <c:v>93.6</c:v>
                </c:pt>
                <c:pt idx="5">
                  <c:v>78</c:v>
                </c:pt>
                <c:pt idx="6">
                  <c:v>62.400000000000006</c:v>
                </c:pt>
                <c:pt idx="7">
                  <c:v>46.8</c:v>
                </c:pt>
                <c:pt idx="8">
                  <c:v>31.200000000000003</c:v>
                </c:pt>
                <c:pt idx="9">
                  <c:v>15.599999999999994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A3-4D70-A15D-11D521EE1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576623"/>
        <c:axId val="228581423"/>
      </c:lineChart>
      <c:catAx>
        <c:axId val="2285766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81423"/>
        <c:crosses val="autoZero"/>
        <c:auto val="1"/>
        <c:lblAlgn val="ctr"/>
        <c:lblOffset val="100"/>
        <c:noMultiLvlLbl val="0"/>
      </c:catAx>
      <c:valAx>
        <c:axId val="22858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7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167640</xdr:colOff>
      <xdr:row>0</xdr:row>
      <xdr:rowOff>182880</xdr:rowOff>
    </xdr:from>
    <xdr:to>
      <xdr:col>18</xdr:col>
      <xdr:colOff>30480</xdr:colOff>
      <xdr:row>21</xdr:row>
      <xdr:rowOff>91440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606402-996D-6CA4-C8E9-5276D0F88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7"/>
  <sheetViews>
    <sheetView tabSelected="1" topLeftCell="C1" zoomScale="80" zoomScaleNormal="80" workbookViewId="0">
      <pane ySplit="1" topLeftCell="A69" activePane="bottomLeft" state="frozen"/>
      <selection pane="bottomLeft" activeCell="E77" sqref="E77"/>
    </sheetView>
  </sheetViews>
  <sheetFormatPr defaultRowHeight="14.4" x14ac:dyDescent="0.3"/>
  <cols>
    <col min="1" max="1" width="11.6640625" style="1" customWidth="1"/>
    <col min="2" max="2" width="13.44140625" style="1" bestFit="1" customWidth="1"/>
    <col min="3" max="3" width="18.109375" style="1" bestFit="1" customWidth="1"/>
    <col min="4" max="4" width="12.33203125" style="1" bestFit="1" customWidth="1"/>
    <col min="5" max="5" width="80.21875" style="1" customWidth="1"/>
    <col min="6" max="6" width="12.44140625" style="1" bestFit="1" customWidth="1"/>
    <col min="7" max="7" width="13.33203125" style="1" bestFit="1" customWidth="1"/>
    <col min="8" max="8" width="11.5546875" style="1" bestFit="1" customWidth="1"/>
    <col min="9" max="9" width="4.6640625" style="1" bestFit="1" customWidth="1"/>
    <col min="10" max="10" width="4.6640625" style="1" customWidth="1"/>
    <col min="11" max="11" width="7" style="1" bestFit="1" customWidth="1"/>
    <col min="12" max="12" width="16" style="1" bestFit="1" customWidth="1"/>
    <col min="13" max="13" width="10.77734375" style="1" bestFit="1" customWidth="1"/>
    <col min="14" max="16384" width="8.88671875" style="1"/>
  </cols>
  <sheetData>
    <row r="1" spans="1:13" s="3" customFormat="1" ht="15.6" x14ac:dyDescent="0.3">
      <c r="A1" s="4" t="s">
        <v>0</v>
      </c>
      <c r="B1" s="4" t="s">
        <v>1</v>
      </c>
      <c r="C1" s="4" t="s">
        <v>2</v>
      </c>
      <c r="D1" s="4" t="s">
        <v>38</v>
      </c>
      <c r="E1" s="4" t="s">
        <v>3</v>
      </c>
      <c r="F1" s="4" t="s">
        <v>4</v>
      </c>
      <c r="G1" s="4" t="s">
        <v>28</v>
      </c>
      <c r="H1" s="4" t="s">
        <v>29</v>
      </c>
      <c r="I1" s="4">
        <f>SUM(I2:I45)</f>
        <v>42</v>
      </c>
      <c r="J1" s="4">
        <f>SUM(J2:J45)</f>
        <v>16</v>
      </c>
      <c r="K1" s="4" t="s">
        <v>5</v>
      </c>
      <c r="L1" s="4" t="s">
        <v>6</v>
      </c>
      <c r="M1" s="4" t="s">
        <v>27</v>
      </c>
    </row>
    <row r="2" spans="1:13" ht="28.8" x14ac:dyDescent="0.3">
      <c r="A2" s="5" t="s">
        <v>48</v>
      </c>
      <c r="B2" s="5">
        <v>3.1</v>
      </c>
      <c r="C2" s="5"/>
      <c r="D2" s="5" t="s">
        <v>39</v>
      </c>
      <c r="E2" s="6"/>
      <c r="F2" s="5" t="s">
        <v>40</v>
      </c>
      <c r="G2" s="5"/>
      <c r="H2" s="5" t="str" cm="1">
        <f t="array" ref="H2">_xlfn.SWITCH(G2,"XS",1,"S",2,"M",3,"L",5,"XL",8,"XXL",13,"XXXL",21,"")</f>
        <v/>
      </c>
      <c r="I2" s="8" t="str">
        <f>H2</f>
        <v/>
      </c>
      <c r="J2" s="67">
        <v>16</v>
      </c>
      <c r="K2" s="5" t="s">
        <v>26</v>
      </c>
      <c r="L2" s="5"/>
      <c r="M2" s="5" t="s">
        <v>7</v>
      </c>
    </row>
    <row r="3" spans="1:13" ht="28.8" x14ac:dyDescent="0.3">
      <c r="A3" s="5" t="s">
        <v>48</v>
      </c>
      <c r="B3" s="5">
        <v>3.1</v>
      </c>
      <c r="C3" s="5"/>
      <c r="D3" s="5" t="s">
        <v>39</v>
      </c>
      <c r="E3" s="6"/>
      <c r="F3" s="5" t="s">
        <v>40</v>
      </c>
      <c r="G3" s="5"/>
      <c r="H3" s="5" t="str" cm="1">
        <f t="array" ref="H3">_xlfn.SWITCH(G3,"XS",1,"S",2,"M",3,"L",5,"XL",8,"XXL",13,"XXXL",21,"")</f>
        <v/>
      </c>
      <c r="I3" s="8" t="str">
        <f t="shared" ref="I3:I39" si="0">H3</f>
        <v/>
      </c>
      <c r="J3" s="41"/>
      <c r="K3" s="5" t="s">
        <v>26</v>
      </c>
      <c r="L3" s="5"/>
      <c r="M3" s="5" t="s">
        <v>7</v>
      </c>
    </row>
    <row r="4" spans="1:13" ht="28.8" x14ac:dyDescent="0.3">
      <c r="A4" s="5" t="s">
        <v>48</v>
      </c>
      <c r="B4" s="5">
        <v>3.1</v>
      </c>
      <c r="C4" s="5"/>
      <c r="D4" s="5" t="s">
        <v>39</v>
      </c>
      <c r="E4" s="7"/>
      <c r="F4" s="5" t="s">
        <v>40</v>
      </c>
      <c r="G4" s="5"/>
      <c r="H4" s="5" t="str" cm="1">
        <f t="array" ref="H4">_xlfn.SWITCH(G4,"XS",1,"S",2,"M",3,"L",5,"XL",8,"XXL",13,"XXXL",21,"")</f>
        <v/>
      </c>
      <c r="I4" s="8" t="str">
        <f t="shared" si="0"/>
        <v/>
      </c>
      <c r="J4" s="41"/>
      <c r="K4" s="5" t="s">
        <v>26</v>
      </c>
      <c r="L4" s="5"/>
      <c r="M4" s="5" t="s">
        <v>7</v>
      </c>
    </row>
    <row r="5" spans="1:13" ht="28.8" x14ac:dyDescent="0.3">
      <c r="A5" s="5" t="s">
        <v>48</v>
      </c>
      <c r="B5" s="5">
        <v>3.1</v>
      </c>
      <c r="C5" s="5"/>
      <c r="D5" s="5" t="s">
        <v>39</v>
      </c>
      <c r="E5" s="7"/>
      <c r="F5" s="5" t="s">
        <v>40</v>
      </c>
      <c r="G5" s="5"/>
      <c r="H5" s="5" t="str" cm="1">
        <f t="array" ref="H5">_xlfn.SWITCH(G5,"XS",1,"S",2,"M",3,"L",5,"XL",8,"XXL",13,"XXXL",21,"")</f>
        <v/>
      </c>
      <c r="I5" s="8" t="str">
        <f t="shared" si="0"/>
        <v/>
      </c>
      <c r="J5" s="41"/>
      <c r="K5" s="5" t="s">
        <v>26</v>
      </c>
      <c r="L5" s="5"/>
      <c r="M5" s="5" t="s">
        <v>7</v>
      </c>
    </row>
    <row r="6" spans="1:13" ht="28.8" x14ac:dyDescent="0.3">
      <c r="A6" s="5" t="s">
        <v>48</v>
      </c>
      <c r="B6" s="5">
        <v>3.1</v>
      </c>
      <c r="C6" s="5"/>
      <c r="D6" s="5" t="s">
        <v>39</v>
      </c>
      <c r="E6" s="6"/>
      <c r="F6" s="5" t="s">
        <v>40</v>
      </c>
      <c r="G6" s="5"/>
      <c r="H6" s="5" t="str" cm="1">
        <f t="array" ref="H6">_xlfn.SWITCH(G6,"XS",1,"S",2,"M",3,"L",5,"XL",8,"XXL",13,"XXXL",21,"")</f>
        <v/>
      </c>
      <c r="I6" s="8" t="str">
        <f t="shared" si="0"/>
        <v/>
      </c>
      <c r="J6" s="41"/>
      <c r="K6" s="5" t="s">
        <v>26</v>
      </c>
      <c r="L6" s="5"/>
      <c r="M6" s="5"/>
    </row>
    <row r="7" spans="1:13" ht="28.8" x14ac:dyDescent="0.3">
      <c r="A7" s="5" t="s">
        <v>48</v>
      </c>
      <c r="B7" s="5">
        <v>3.1</v>
      </c>
      <c r="C7" s="5"/>
      <c r="D7" s="5" t="s">
        <v>39</v>
      </c>
      <c r="E7" s="6"/>
      <c r="F7" s="5" t="s">
        <v>40</v>
      </c>
      <c r="G7" s="5"/>
      <c r="H7" s="5" t="str" cm="1">
        <f t="array" ref="H7">_xlfn.SWITCH(G7,"XS",1,"S",2,"M",3,"L",5,"XL",8,"XXL",13,"XXXL",21,"")</f>
        <v/>
      </c>
      <c r="I7" s="8" t="str">
        <f t="shared" si="0"/>
        <v/>
      </c>
      <c r="J7" s="41"/>
      <c r="K7" s="5" t="s">
        <v>26</v>
      </c>
      <c r="L7" s="5"/>
      <c r="M7" s="5"/>
    </row>
    <row r="8" spans="1:13" ht="216" x14ac:dyDescent="0.3">
      <c r="A8" s="8" t="s">
        <v>48</v>
      </c>
      <c r="B8" s="8">
        <v>3.1</v>
      </c>
      <c r="C8" s="8" t="s">
        <v>46</v>
      </c>
      <c r="D8" s="8" t="s">
        <v>41</v>
      </c>
      <c r="E8" s="9" t="s">
        <v>58</v>
      </c>
      <c r="F8" s="8" t="s">
        <v>8</v>
      </c>
      <c r="G8" s="8" t="s">
        <v>35</v>
      </c>
      <c r="H8" s="5" cm="1">
        <f t="array" ref="H8">_xlfn.SWITCH(G8,"XS",1,"S",2,"M",3,"L",5,"XL",8,"XXL",13,"XXXL",21,"")</f>
        <v>5</v>
      </c>
      <c r="I8" s="8">
        <f t="shared" si="0"/>
        <v>5</v>
      </c>
      <c r="J8" s="41"/>
      <c r="K8" s="8" t="s">
        <v>26</v>
      </c>
      <c r="L8" s="8"/>
      <c r="M8" s="8" t="s">
        <v>7</v>
      </c>
    </row>
    <row r="9" spans="1:13" ht="104.4" customHeight="1" x14ac:dyDescent="0.3">
      <c r="A9" s="8" t="s">
        <v>48</v>
      </c>
      <c r="B9" s="8">
        <v>3.1</v>
      </c>
      <c r="C9" s="8" t="s">
        <v>46</v>
      </c>
      <c r="D9" s="8" t="s">
        <v>41</v>
      </c>
      <c r="E9" s="9" t="s">
        <v>59</v>
      </c>
      <c r="F9" s="8" t="s">
        <v>8</v>
      </c>
      <c r="G9" s="8" t="s">
        <v>30</v>
      </c>
      <c r="H9" s="5" cm="1">
        <f t="array" ref="H9">_xlfn.SWITCH(G9,"XS",1,"S",2,"M",3,"L",5,"XL",8,"XXL",13,"XXXL",21,"")</f>
        <v>2</v>
      </c>
      <c r="I9" s="8">
        <f>H9</f>
        <v>2</v>
      </c>
      <c r="J9" s="41"/>
      <c r="K9" s="8"/>
      <c r="L9" s="8"/>
      <c r="M9" s="8" t="s">
        <v>7</v>
      </c>
    </row>
    <row r="10" spans="1:13" ht="72" x14ac:dyDescent="0.3">
      <c r="A10" s="8" t="s">
        <v>48</v>
      </c>
      <c r="B10" s="8">
        <v>3.1</v>
      </c>
      <c r="C10" s="8" t="s">
        <v>47</v>
      </c>
      <c r="D10" s="8" t="s">
        <v>41</v>
      </c>
      <c r="E10" s="9" t="s">
        <v>51</v>
      </c>
      <c r="F10" s="8" t="s">
        <v>8</v>
      </c>
      <c r="G10" s="8" t="s">
        <v>30</v>
      </c>
      <c r="H10" s="5" cm="1">
        <f t="array" ref="H10">_xlfn.SWITCH(G10,"XS",1,"S",2,"M",3,"L",5,"XL",8,"XXL",13,"XXXL",21,"")</f>
        <v>2</v>
      </c>
      <c r="I10" s="8">
        <f t="shared" si="0"/>
        <v>2</v>
      </c>
      <c r="J10" s="41"/>
      <c r="K10" s="8"/>
      <c r="L10" s="8"/>
      <c r="M10" s="8" t="s">
        <v>7</v>
      </c>
    </row>
    <row r="11" spans="1:13" ht="86.4" x14ac:dyDescent="0.3">
      <c r="A11" s="8" t="s">
        <v>48</v>
      </c>
      <c r="B11" s="8">
        <v>3.1</v>
      </c>
      <c r="C11" s="8" t="s">
        <v>47</v>
      </c>
      <c r="D11" s="8" t="s">
        <v>41</v>
      </c>
      <c r="E11" s="9" t="s">
        <v>52</v>
      </c>
      <c r="F11" s="8" t="s">
        <v>8</v>
      </c>
      <c r="G11" s="8" t="s">
        <v>30</v>
      </c>
      <c r="H11" s="5" cm="1">
        <f t="array" ref="H11">_xlfn.SWITCH(G11,"XS",1,"S",2,"M",3,"L",5,"XL",8,"XXL",13,"XXXL",21,"")</f>
        <v>2</v>
      </c>
      <c r="I11" s="8">
        <f t="shared" si="0"/>
        <v>2</v>
      </c>
      <c r="J11" s="68"/>
      <c r="K11" s="8"/>
      <c r="L11" s="8"/>
      <c r="M11" s="8" t="s">
        <v>7</v>
      </c>
    </row>
    <row r="12" spans="1:13" ht="57.6" x14ac:dyDescent="0.3">
      <c r="A12" s="8"/>
      <c r="B12" s="8"/>
      <c r="C12" s="8" t="s">
        <v>47</v>
      </c>
      <c r="D12" s="8" t="s">
        <v>41</v>
      </c>
      <c r="E12" s="9" t="s">
        <v>50</v>
      </c>
      <c r="F12" s="8" t="s">
        <v>8</v>
      </c>
      <c r="G12" s="8" t="s">
        <v>30</v>
      </c>
      <c r="H12" s="5" cm="1">
        <f t="array" ref="H12">_xlfn.SWITCH(G12,"XS",1,"S",2,"M",3,"L",5,"XL",8,"XXL",13,"XXXL",21,"")</f>
        <v>2</v>
      </c>
      <c r="I12" s="8">
        <f t="shared" si="0"/>
        <v>2</v>
      </c>
      <c r="J12" s="41"/>
      <c r="K12" s="8"/>
      <c r="L12" s="8"/>
      <c r="M12" s="8" t="s">
        <v>7</v>
      </c>
    </row>
    <row r="13" spans="1:13" ht="28.8" x14ac:dyDescent="0.3">
      <c r="A13" s="10" t="s">
        <v>48</v>
      </c>
      <c r="B13" s="10">
        <v>3.2</v>
      </c>
      <c r="C13" s="10"/>
      <c r="D13" s="10" t="s">
        <v>39</v>
      </c>
      <c r="E13" s="13"/>
      <c r="F13" s="10" t="s">
        <v>40</v>
      </c>
      <c r="G13" s="10"/>
      <c r="H13" s="10" t="str" cm="1">
        <f t="array" ref="H13">_xlfn.SWITCH(G13,"XS",1,"S",2,"M",3,"L",5,"XL",8,"XXL",13,"XXXL",21,"")</f>
        <v/>
      </c>
      <c r="I13" s="10" t="str">
        <f t="shared" si="0"/>
        <v/>
      </c>
      <c r="J13" s="69"/>
      <c r="K13" s="10" t="s">
        <v>26</v>
      </c>
      <c r="L13" s="10"/>
      <c r="M13" s="10" t="s">
        <v>7</v>
      </c>
    </row>
    <row r="14" spans="1:13" ht="28.8" x14ac:dyDescent="0.3">
      <c r="A14" s="10" t="s">
        <v>48</v>
      </c>
      <c r="B14" s="10">
        <v>3.2</v>
      </c>
      <c r="C14" s="10"/>
      <c r="D14" s="10" t="s">
        <v>39</v>
      </c>
      <c r="E14" s="13"/>
      <c r="F14" s="10" t="s">
        <v>40</v>
      </c>
      <c r="G14" s="10"/>
      <c r="H14" s="10" t="str" cm="1">
        <f t="array" ref="H14">_xlfn.SWITCH(G14,"XS",1,"S",2,"M",3,"L",5,"XL",8,"XXL",13,"XXXL",21,"")</f>
        <v/>
      </c>
      <c r="I14" s="10" t="str">
        <f t="shared" si="0"/>
        <v/>
      </c>
      <c r="J14" s="42"/>
      <c r="K14" s="10" t="s">
        <v>26</v>
      </c>
      <c r="L14" s="10"/>
      <c r="M14" s="10" t="s">
        <v>7</v>
      </c>
    </row>
    <row r="15" spans="1:13" ht="28.8" x14ac:dyDescent="0.3">
      <c r="A15" s="10" t="s">
        <v>48</v>
      </c>
      <c r="B15" s="10">
        <v>3.2</v>
      </c>
      <c r="C15" s="10"/>
      <c r="D15" s="10" t="s">
        <v>39</v>
      </c>
      <c r="E15" s="13"/>
      <c r="F15" s="10" t="s">
        <v>40</v>
      </c>
      <c r="G15" s="10"/>
      <c r="H15" s="10" t="str" cm="1">
        <f t="array" ref="H15">_xlfn.SWITCH(G15,"XS",1,"S",2,"M",3,"L",5,"XL",8,"XXL",13,"XXXL",21,"")</f>
        <v/>
      </c>
      <c r="I15" s="10" t="str">
        <f t="shared" si="0"/>
        <v/>
      </c>
      <c r="J15" s="42"/>
      <c r="K15" s="10" t="s">
        <v>26</v>
      </c>
      <c r="L15" s="10"/>
      <c r="M15" s="10" t="s">
        <v>7</v>
      </c>
    </row>
    <row r="16" spans="1:13" ht="28.8" x14ac:dyDescent="0.3">
      <c r="A16" s="10" t="s">
        <v>48</v>
      </c>
      <c r="B16" s="10">
        <v>3.2</v>
      </c>
      <c r="C16" s="10"/>
      <c r="D16" s="10" t="s">
        <v>39</v>
      </c>
      <c r="E16" s="13"/>
      <c r="F16" s="10" t="s">
        <v>40</v>
      </c>
      <c r="G16" s="10"/>
      <c r="H16" s="10" t="str" cm="1">
        <f t="array" ref="H16">_xlfn.SWITCH(G16,"XS",1,"S",2,"M",3,"L",5,"XL",8,"XXL",13,"XXXL",21,"")</f>
        <v/>
      </c>
      <c r="I16" s="10" t="str">
        <f t="shared" si="0"/>
        <v/>
      </c>
      <c r="J16" s="42"/>
      <c r="K16" s="10" t="s">
        <v>26</v>
      </c>
      <c r="L16" s="10"/>
      <c r="M16" s="10" t="s">
        <v>7</v>
      </c>
    </row>
    <row r="17" spans="1:13" ht="28.8" x14ac:dyDescent="0.3">
      <c r="A17" s="10" t="s">
        <v>48</v>
      </c>
      <c r="B17" s="10">
        <v>3.2</v>
      </c>
      <c r="C17" s="10"/>
      <c r="D17" s="10" t="s">
        <v>39</v>
      </c>
      <c r="E17" s="14"/>
      <c r="F17" s="10" t="s">
        <v>40</v>
      </c>
      <c r="G17" s="10"/>
      <c r="H17" s="10" t="str" cm="1">
        <f t="array" ref="H17">_xlfn.SWITCH(G17,"XS",1,"S",2,"M",3,"L",5,"XL",8,"XXL",13,"XXXL",21,"")</f>
        <v/>
      </c>
      <c r="I17" s="10" t="str">
        <f t="shared" si="0"/>
        <v/>
      </c>
      <c r="J17" s="42"/>
      <c r="K17" s="10" t="s">
        <v>26</v>
      </c>
      <c r="L17" s="10"/>
      <c r="M17" s="10" t="s">
        <v>7</v>
      </c>
    </row>
    <row r="18" spans="1:13" ht="28.8" x14ac:dyDescent="0.3">
      <c r="A18" s="10" t="s">
        <v>48</v>
      </c>
      <c r="B18" s="10">
        <v>3.2</v>
      </c>
      <c r="C18" s="10"/>
      <c r="D18" s="10" t="s">
        <v>39</v>
      </c>
      <c r="E18" s="14"/>
      <c r="F18" s="10" t="s">
        <v>40</v>
      </c>
      <c r="G18" s="10"/>
      <c r="H18" s="10" t="str" cm="1">
        <f t="array" ref="H18">_xlfn.SWITCH(G18,"XS",1,"S",2,"M",3,"L",5,"XL",8,"XXL",13,"XXXL",21,"")</f>
        <v/>
      </c>
      <c r="I18" s="10" t="str">
        <f t="shared" si="0"/>
        <v/>
      </c>
      <c r="J18" s="42"/>
      <c r="K18" s="10" t="s">
        <v>26</v>
      </c>
      <c r="L18" s="10"/>
      <c r="M18" s="10" t="s">
        <v>7</v>
      </c>
    </row>
    <row r="19" spans="1:13" ht="28.8" x14ac:dyDescent="0.3">
      <c r="A19" s="10" t="s">
        <v>48</v>
      </c>
      <c r="B19" s="10">
        <v>3.2</v>
      </c>
      <c r="C19" s="10"/>
      <c r="D19" s="10" t="s">
        <v>39</v>
      </c>
      <c r="E19" s="14"/>
      <c r="F19" s="10" t="s">
        <v>40</v>
      </c>
      <c r="G19" s="10"/>
      <c r="H19" s="10" t="str" cm="1">
        <f t="array" ref="H19">_xlfn.SWITCH(G19,"XS",1,"S",2,"M",3,"L",5,"XL",8,"XXL",13,"XXXL",21,"")</f>
        <v/>
      </c>
      <c r="I19" s="10" t="str">
        <f t="shared" si="0"/>
        <v/>
      </c>
      <c r="J19" s="42"/>
      <c r="K19" s="10" t="s">
        <v>26</v>
      </c>
      <c r="L19" s="10"/>
      <c r="M19" s="10" t="s">
        <v>7</v>
      </c>
    </row>
    <row r="20" spans="1:13" ht="28.8" x14ac:dyDescent="0.3">
      <c r="A20" s="10" t="s">
        <v>48</v>
      </c>
      <c r="B20" s="10">
        <v>3.2</v>
      </c>
      <c r="C20" s="10"/>
      <c r="D20" s="10" t="s">
        <v>39</v>
      </c>
      <c r="E20" s="14"/>
      <c r="F20" s="10" t="s">
        <v>40</v>
      </c>
      <c r="G20" s="10"/>
      <c r="H20" s="10" t="str" cm="1">
        <f t="array" ref="H20">_xlfn.SWITCH(G20,"XS",1,"S",2,"M",3,"L",5,"XL",8,"XXL",13,"XXXL",21,"")</f>
        <v/>
      </c>
      <c r="I20" s="10" t="str">
        <f t="shared" si="0"/>
        <v/>
      </c>
      <c r="J20" s="42"/>
      <c r="K20" s="10" t="s">
        <v>26</v>
      </c>
      <c r="L20" s="10"/>
      <c r="M20" s="10" t="s">
        <v>7</v>
      </c>
    </row>
    <row r="21" spans="1:13" ht="57.6" x14ac:dyDescent="0.3">
      <c r="A21" s="11" t="s">
        <v>48</v>
      </c>
      <c r="B21" s="11">
        <v>3.2</v>
      </c>
      <c r="C21" s="11" t="s">
        <v>53</v>
      </c>
      <c r="D21" s="11" t="s">
        <v>41</v>
      </c>
      <c r="E21" s="12" t="s">
        <v>49</v>
      </c>
      <c r="F21" s="11" t="s">
        <v>8</v>
      </c>
      <c r="G21" s="11" t="s">
        <v>37</v>
      </c>
      <c r="H21" s="11" cm="1">
        <f t="array" ref="H21">_xlfn.SWITCH(G21,"XS",1,"S",2,"M",3,"L",5,"XL",8,"XXL",13,"XXXL",21,"")</f>
        <v>1</v>
      </c>
      <c r="I21" s="11">
        <f t="shared" si="0"/>
        <v>1</v>
      </c>
      <c r="J21" s="70"/>
      <c r="K21" s="11" t="s">
        <v>26</v>
      </c>
      <c r="L21" s="11"/>
      <c r="M21" s="11" t="s">
        <v>7</v>
      </c>
    </row>
    <row r="22" spans="1:13" ht="158.4" x14ac:dyDescent="0.3">
      <c r="A22" s="11" t="s">
        <v>48</v>
      </c>
      <c r="B22" s="11">
        <v>3.2</v>
      </c>
      <c r="C22" s="11" t="s">
        <v>53</v>
      </c>
      <c r="D22" s="11" t="s">
        <v>41</v>
      </c>
      <c r="E22" s="12" t="s">
        <v>55</v>
      </c>
      <c r="F22" s="11" t="s">
        <v>8</v>
      </c>
      <c r="G22" s="11" t="s">
        <v>37</v>
      </c>
      <c r="H22" s="11" cm="1">
        <f t="array" ref="H22">_xlfn.SWITCH(G22,"XS",1,"S",2,"M",3,"L",5,"XL",8,"XXL",13,"XXXL",21,"")</f>
        <v>1</v>
      </c>
      <c r="I22" s="11">
        <f t="shared" si="0"/>
        <v>1</v>
      </c>
      <c r="J22" s="42"/>
      <c r="K22" s="11"/>
      <c r="L22" s="11"/>
      <c r="M22" s="11" t="s">
        <v>7</v>
      </c>
    </row>
    <row r="23" spans="1:13" ht="86.4" x14ac:dyDescent="0.3">
      <c r="A23" s="11" t="s">
        <v>48</v>
      </c>
      <c r="B23" s="11">
        <v>3.2</v>
      </c>
      <c r="C23" s="11" t="s">
        <v>53</v>
      </c>
      <c r="D23" s="11" t="s">
        <v>41</v>
      </c>
      <c r="E23" s="12" t="s">
        <v>54</v>
      </c>
      <c r="F23" s="11" t="s">
        <v>8</v>
      </c>
      <c r="G23" s="11" t="s">
        <v>37</v>
      </c>
      <c r="H23" s="11" cm="1">
        <f t="array" ref="H23">_xlfn.SWITCH(G23,"XS",1,"S",2,"M",3,"L",5,"XL",8,"XXL",13,"XXXL",21,"")</f>
        <v>1</v>
      </c>
      <c r="I23" s="11">
        <f t="shared" si="0"/>
        <v>1</v>
      </c>
      <c r="J23" s="64"/>
      <c r="K23" s="11"/>
      <c r="L23" s="11"/>
      <c r="M23" s="11" t="s">
        <v>7</v>
      </c>
    </row>
    <row r="24" spans="1:13" ht="115.2" x14ac:dyDescent="0.3">
      <c r="A24" s="31"/>
      <c r="B24" s="31"/>
      <c r="C24" s="31"/>
      <c r="D24" s="31" t="s">
        <v>62</v>
      </c>
      <c r="E24" s="65" t="s">
        <v>65</v>
      </c>
      <c r="F24" s="31" t="s">
        <v>33</v>
      </c>
      <c r="G24" s="31" t="s">
        <v>30</v>
      </c>
      <c r="H24" s="31" cm="1">
        <f t="array" ref="H24">_xlfn.SWITCH(G24,"XS",1,"S",2,"M",3,"L",5,"XL",8,"XXL",13,"XXXL",21,"")</f>
        <v>2</v>
      </c>
      <c r="I24" s="31">
        <f t="shared" si="0"/>
        <v>2</v>
      </c>
      <c r="J24" s="66"/>
      <c r="K24" s="31"/>
      <c r="L24" s="31"/>
      <c r="M24" s="31" t="s">
        <v>7</v>
      </c>
    </row>
    <row r="25" spans="1:13" ht="57.6" x14ac:dyDescent="0.3">
      <c r="A25" s="31"/>
      <c r="B25" s="31"/>
      <c r="C25" s="31"/>
      <c r="D25" s="31" t="s">
        <v>62</v>
      </c>
      <c r="E25" s="65" t="s">
        <v>66</v>
      </c>
      <c r="F25" s="31" t="s">
        <v>33</v>
      </c>
      <c r="G25" s="31" t="s">
        <v>37</v>
      </c>
      <c r="H25" s="31" cm="1">
        <f t="array" ref="H25">_xlfn.SWITCH(G25,"XS",1,"S",2,"M",3,"L",5,"XL",8,"XXL",13,"XXXL",21,"")</f>
        <v>1</v>
      </c>
      <c r="I25" s="31">
        <f t="shared" si="0"/>
        <v>1</v>
      </c>
      <c r="J25" s="66"/>
      <c r="K25" s="31"/>
      <c r="L25" s="31"/>
      <c r="M25" s="31" t="s">
        <v>7</v>
      </c>
    </row>
    <row r="26" spans="1:13" ht="28.8" x14ac:dyDescent="0.3">
      <c r="A26" s="16" t="s">
        <v>48</v>
      </c>
      <c r="B26" s="16"/>
      <c r="C26" s="16" t="s">
        <v>67</v>
      </c>
      <c r="D26" s="16" t="s">
        <v>39</v>
      </c>
      <c r="E26" s="17"/>
      <c r="F26" s="16" t="s">
        <v>8</v>
      </c>
      <c r="G26" s="16" t="s">
        <v>31</v>
      </c>
      <c r="H26" s="16" cm="1">
        <f t="array" ref="H26">_xlfn.SWITCH(G26,"XS",1,"S",2,"M",3,"L",5,"XL",8,"XXL",13,"XXXL",21,"")</f>
        <v>3</v>
      </c>
      <c r="I26" s="16">
        <f>H26</f>
        <v>3</v>
      </c>
      <c r="J26" s="44"/>
      <c r="K26" s="16" t="s">
        <v>26</v>
      </c>
      <c r="L26" s="16"/>
      <c r="M26" s="16" t="s">
        <v>7</v>
      </c>
    </row>
    <row r="27" spans="1:13" ht="28.8" x14ac:dyDescent="0.3">
      <c r="A27" s="16" t="s">
        <v>48</v>
      </c>
      <c r="B27" s="16"/>
      <c r="C27" s="16"/>
      <c r="D27" s="16" t="s">
        <v>39</v>
      </c>
      <c r="E27" s="17"/>
      <c r="F27" s="16" t="s">
        <v>40</v>
      </c>
      <c r="G27" s="16" t="s">
        <v>37</v>
      </c>
      <c r="H27" s="16" cm="1">
        <f t="array" ref="H27">_xlfn.SWITCH(G27,"XS",1,"S",2,"M",3,"L",5,"XL",8,"XXL",13,"XXXL",21,"")</f>
        <v>1</v>
      </c>
      <c r="I27" s="16">
        <f>H27</f>
        <v>1</v>
      </c>
      <c r="J27" s="45"/>
      <c r="K27" s="16" t="s">
        <v>26</v>
      </c>
      <c r="L27" s="16"/>
      <c r="M27" s="16" t="s">
        <v>7</v>
      </c>
    </row>
    <row r="28" spans="1:13" ht="28.8" x14ac:dyDescent="0.3">
      <c r="A28" s="16" t="s">
        <v>48</v>
      </c>
      <c r="B28" s="16"/>
      <c r="C28" s="16"/>
      <c r="D28" s="16" t="s">
        <v>39</v>
      </c>
      <c r="E28" s="17"/>
      <c r="F28" s="16" t="s">
        <v>40</v>
      </c>
      <c r="G28" s="16" t="s">
        <v>30</v>
      </c>
      <c r="H28" s="16" cm="1">
        <f t="array" ref="H28">_xlfn.SWITCH(G28,"XS",1,"S",2,"M",3,"L",5,"XL",8,"XXL",13,"XXXL",21,"")</f>
        <v>2</v>
      </c>
      <c r="I28" s="16">
        <f>H28</f>
        <v>2</v>
      </c>
      <c r="J28" s="45"/>
      <c r="K28" s="16" t="s">
        <v>26</v>
      </c>
      <c r="L28" s="16"/>
      <c r="M28" s="16" t="s">
        <v>7</v>
      </c>
    </row>
    <row r="29" spans="1:13" ht="28.8" x14ac:dyDescent="0.3">
      <c r="A29" s="16" t="s">
        <v>48</v>
      </c>
      <c r="B29" s="16"/>
      <c r="C29" s="16"/>
      <c r="D29" s="16" t="s">
        <v>39</v>
      </c>
      <c r="E29" s="17"/>
      <c r="F29" s="16" t="s">
        <v>40</v>
      </c>
      <c r="G29" s="16" t="s">
        <v>37</v>
      </c>
      <c r="H29" s="16" cm="1">
        <f t="array" ref="H29">_xlfn.SWITCH(G29,"XS",1,"S",2,"M",3,"L",5,"XL",8,"XXL",13,"XXXL",21,"")</f>
        <v>1</v>
      </c>
      <c r="I29" s="16">
        <f>H29</f>
        <v>1</v>
      </c>
      <c r="J29" s="45"/>
      <c r="K29" s="16" t="s">
        <v>26</v>
      </c>
      <c r="L29" s="16"/>
      <c r="M29" s="16" t="s">
        <v>7</v>
      </c>
    </row>
    <row r="30" spans="1:13" ht="28.8" x14ac:dyDescent="0.3">
      <c r="A30" s="16" t="s">
        <v>48</v>
      </c>
      <c r="B30" s="16"/>
      <c r="C30" s="16"/>
      <c r="D30" s="16" t="s">
        <v>39</v>
      </c>
      <c r="E30" s="17"/>
      <c r="F30" s="16" t="s">
        <v>40</v>
      </c>
      <c r="G30" s="16" t="s">
        <v>30</v>
      </c>
      <c r="H30" s="16" cm="1">
        <f t="array" ref="H30">_xlfn.SWITCH(G30,"XS",1,"S",2,"M",3,"L",5,"XL",8,"XXL",13,"XXXL",21,"")</f>
        <v>2</v>
      </c>
      <c r="I30" s="16">
        <f>H30</f>
        <v>2</v>
      </c>
      <c r="J30" s="45"/>
      <c r="K30" s="16" t="s">
        <v>26</v>
      </c>
      <c r="L30" s="16"/>
      <c r="M30" s="16" t="s">
        <v>7</v>
      </c>
    </row>
    <row r="31" spans="1:13" ht="158.4" x14ac:dyDescent="0.3">
      <c r="A31" s="18" t="s">
        <v>48</v>
      </c>
      <c r="B31" s="18">
        <v>3.3</v>
      </c>
      <c r="C31" s="18" t="s">
        <v>56</v>
      </c>
      <c r="D31" s="18" t="s">
        <v>41</v>
      </c>
      <c r="E31" s="19" t="s">
        <v>60</v>
      </c>
      <c r="F31" s="18" t="s">
        <v>8</v>
      </c>
      <c r="G31" s="18"/>
      <c r="H31" s="18" t="str" cm="1">
        <f t="array" ref="H31">_xlfn.SWITCH(G31,"XS",1,"S",2,"M",3,"L",5,"XL",8,"XXL",13,"XXXL",21,"")</f>
        <v/>
      </c>
      <c r="I31" s="18"/>
      <c r="J31" s="43"/>
      <c r="K31" s="18"/>
      <c r="L31" s="18"/>
      <c r="M31" s="18" t="s">
        <v>7</v>
      </c>
    </row>
    <row r="32" spans="1:13" ht="72" x14ac:dyDescent="0.3">
      <c r="A32" s="18" t="s">
        <v>48</v>
      </c>
      <c r="B32" s="18">
        <v>3.4</v>
      </c>
      <c r="C32" s="18" t="s">
        <v>57</v>
      </c>
      <c r="D32" s="18" t="s">
        <v>41</v>
      </c>
      <c r="E32" s="19" t="s">
        <v>61</v>
      </c>
      <c r="F32" s="18"/>
      <c r="G32" s="18"/>
      <c r="H32" s="18" t="str" cm="1">
        <f t="array" ref="H32">_xlfn.SWITCH(G32,"XS",1,"S",2,"M",3,"L",5,"XL",8,"XXL",13,"XXXL",21,"")</f>
        <v/>
      </c>
      <c r="I32" s="18"/>
      <c r="J32" s="43"/>
      <c r="K32" s="18"/>
      <c r="L32" s="18"/>
      <c r="M32" s="18" t="s">
        <v>7</v>
      </c>
    </row>
    <row r="33" spans="1:13" s="15" customFormat="1" ht="96.6" customHeight="1" x14ac:dyDescent="0.3">
      <c r="A33" s="31"/>
      <c r="B33" s="31"/>
      <c r="C33" s="31"/>
      <c r="D33" s="31" t="s">
        <v>62</v>
      </c>
      <c r="E33" s="65" t="s">
        <v>63</v>
      </c>
      <c r="F33" s="31" t="s">
        <v>33</v>
      </c>
      <c r="G33" s="31"/>
      <c r="H33" s="31"/>
      <c r="I33" s="31"/>
      <c r="J33" s="66"/>
      <c r="K33" s="31"/>
      <c r="L33" s="31"/>
      <c r="M33" s="31" t="s">
        <v>7</v>
      </c>
    </row>
    <row r="34" spans="1:13" s="15" customFormat="1" ht="96.6" customHeight="1" x14ac:dyDescent="0.3">
      <c r="A34" s="31"/>
      <c r="B34" s="31"/>
      <c r="C34" s="31"/>
      <c r="D34" s="31" t="s">
        <v>62</v>
      </c>
      <c r="E34" s="65" t="s">
        <v>64</v>
      </c>
      <c r="F34" s="31" t="s">
        <v>33</v>
      </c>
      <c r="G34" s="31"/>
      <c r="H34" s="31"/>
      <c r="I34" s="31"/>
      <c r="J34" s="66"/>
      <c r="K34" s="31"/>
      <c r="L34" s="31"/>
      <c r="M34" s="31" t="s">
        <v>7</v>
      </c>
    </row>
    <row r="35" spans="1:13" ht="28.8" x14ac:dyDescent="0.3">
      <c r="A35" s="20" t="s">
        <v>48</v>
      </c>
      <c r="B35" s="20"/>
      <c r="C35" s="20"/>
      <c r="D35" s="20" t="s">
        <v>39</v>
      </c>
      <c r="E35" s="21"/>
      <c r="F35" s="49" t="s">
        <v>40</v>
      </c>
      <c r="G35" s="49" t="s">
        <v>30</v>
      </c>
      <c r="H35" s="49" cm="1">
        <f t="array" ref="H35">_xlfn.SWITCH(G35,"XS",1,"S",2,"M",3,"L",5,"XL",8,"XXL",13,"XXXL",21,"")</f>
        <v>2</v>
      </c>
      <c r="I35" s="49">
        <f t="shared" si="0"/>
        <v>2</v>
      </c>
      <c r="J35" s="49"/>
      <c r="K35" s="20" t="s">
        <v>26</v>
      </c>
      <c r="L35" s="20"/>
      <c r="M35" s="20" t="s">
        <v>7</v>
      </c>
    </row>
    <row r="36" spans="1:13" ht="28.8" x14ac:dyDescent="0.3">
      <c r="A36" s="20" t="s">
        <v>48</v>
      </c>
      <c r="B36" s="20"/>
      <c r="C36" s="20"/>
      <c r="D36" s="20" t="s">
        <v>39</v>
      </c>
      <c r="E36" s="21"/>
      <c r="F36" s="50"/>
      <c r="G36" s="50"/>
      <c r="H36" s="50"/>
      <c r="I36" s="50"/>
      <c r="J36" s="50"/>
      <c r="K36" s="20" t="s">
        <v>26</v>
      </c>
      <c r="L36" s="20"/>
      <c r="M36" s="20" t="s">
        <v>7</v>
      </c>
    </row>
    <row r="37" spans="1:13" ht="28.8" x14ac:dyDescent="0.3">
      <c r="A37" s="20" t="s">
        <v>48</v>
      </c>
      <c r="B37" s="20"/>
      <c r="C37" s="20"/>
      <c r="D37" s="20" t="s">
        <v>39</v>
      </c>
      <c r="E37" s="21"/>
      <c r="F37" s="50"/>
      <c r="G37" s="50"/>
      <c r="H37" s="50"/>
      <c r="I37" s="50"/>
      <c r="J37" s="50"/>
      <c r="K37" s="20" t="s">
        <v>26</v>
      </c>
      <c r="L37" s="20"/>
      <c r="M37" s="20" t="s">
        <v>7</v>
      </c>
    </row>
    <row r="38" spans="1:13" ht="28.8" x14ac:dyDescent="0.3">
      <c r="A38" s="20" t="s">
        <v>48</v>
      </c>
      <c r="B38" s="20"/>
      <c r="C38" s="20"/>
      <c r="D38" s="20" t="s">
        <v>39</v>
      </c>
      <c r="E38" s="21"/>
      <c r="F38" s="51"/>
      <c r="G38" s="51"/>
      <c r="H38" s="51"/>
      <c r="I38" s="51"/>
      <c r="J38" s="50"/>
      <c r="K38" s="20" t="s">
        <v>26</v>
      </c>
      <c r="L38" s="20"/>
      <c r="M38" s="20" t="s">
        <v>7</v>
      </c>
    </row>
    <row r="39" spans="1:13" ht="28.8" x14ac:dyDescent="0.3">
      <c r="A39" s="22" t="s">
        <v>48</v>
      </c>
      <c r="B39" s="22">
        <v>3.5</v>
      </c>
      <c r="C39" s="22" t="s">
        <v>76</v>
      </c>
      <c r="D39" s="22" t="s">
        <v>41</v>
      </c>
      <c r="E39" s="23" t="s">
        <v>68</v>
      </c>
      <c r="F39" s="55" t="s">
        <v>8</v>
      </c>
      <c r="G39" s="55" t="s">
        <v>32</v>
      </c>
      <c r="H39" s="55" cm="1">
        <f t="array" ref="H39">_xlfn.SWITCH(G39,"XS",1,"S",2,"M",3,"L",5,"XL",8,"XXL",13,"XXXL",21,"")</f>
        <v>8</v>
      </c>
      <c r="I39" s="55">
        <f t="shared" si="0"/>
        <v>8</v>
      </c>
      <c r="J39" s="50"/>
      <c r="K39" s="22" t="s">
        <v>26</v>
      </c>
      <c r="L39" s="22"/>
      <c r="M39" s="22" t="s">
        <v>7</v>
      </c>
    </row>
    <row r="40" spans="1:13" ht="115.2" x14ac:dyDescent="0.3">
      <c r="A40" s="22" t="s">
        <v>48</v>
      </c>
      <c r="B40" s="22">
        <v>3.5</v>
      </c>
      <c r="C40" s="22" t="s">
        <v>76</v>
      </c>
      <c r="D40" s="22" t="s">
        <v>41</v>
      </c>
      <c r="E40" s="23" t="s">
        <v>77</v>
      </c>
      <c r="F40" s="56"/>
      <c r="G40" s="56"/>
      <c r="H40" s="56"/>
      <c r="I40" s="56"/>
      <c r="J40" s="50"/>
      <c r="K40" s="22" t="s">
        <v>26</v>
      </c>
      <c r="L40" s="22"/>
      <c r="M40" s="22" t="s">
        <v>7</v>
      </c>
    </row>
    <row r="41" spans="1:13" ht="28.8" x14ac:dyDescent="0.3">
      <c r="A41" s="22" t="s">
        <v>48</v>
      </c>
      <c r="B41" s="22">
        <v>3.6</v>
      </c>
      <c r="C41" s="22" t="s">
        <v>76</v>
      </c>
      <c r="D41" s="22" t="s">
        <v>41</v>
      </c>
      <c r="E41" s="23" t="s">
        <v>69</v>
      </c>
      <c r="F41" s="56"/>
      <c r="G41" s="56"/>
      <c r="H41" s="56"/>
      <c r="I41" s="56"/>
      <c r="J41" s="50"/>
      <c r="K41" s="22" t="s">
        <v>26</v>
      </c>
      <c r="L41" s="22"/>
      <c r="M41" s="22" t="s">
        <v>7</v>
      </c>
    </row>
    <row r="42" spans="1:13" ht="28.8" x14ac:dyDescent="0.3">
      <c r="A42" s="22" t="s">
        <v>48</v>
      </c>
      <c r="B42" s="22">
        <v>3.7</v>
      </c>
      <c r="C42" s="22" t="s">
        <v>76</v>
      </c>
      <c r="D42" s="22" t="s">
        <v>41</v>
      </c>
      <c r="E42" s="24" t="s">
        <v>70</v>
      </c>
      <c r="F42" s="57"/>
      <c r="G42" s="57"/>
      <c r="H42" s="57"/>
      <c r="I42" s="57"/>
      <c r="J42" s="51"/>
      <c r="K42" s="22" t="s">
        <v>26</v>
      </c>
      <c r="L42" s="22"/>
      <c r="M42" s="22" t="s">
        <v>7</v>
      </c>
    </row>
    <row r="43" spans="1:13" ht="28.8" x14ac:dyDescent="0.3">
      <c r="A43" s="22"/>
      <c r="B43" s="22">
        <v>3.8</v>
      </c>
      <c r="C43" s="22" t="s">
        <v>76</v>
      </c>
      <c r="D43" s="22" t="s">
        <v>41</v>
      </c>
      <c r="E43" s="24" t="s">
        <v>78</v>
      </c>
      <c r="F43" s="48"/>
      <c r="G43" s="48"/>
      <c r="H43" s="48"/>
      <c r="I43" s="48"/>
      <c r="J43" s="46"/>
      <c r="K43" s="22"/>
      <c r="L43" s="22"/>
      <c r="M43" s="22"/>
    </row>
    <row r="44" spans="1:13" s="15" customFormat="1" ht="100.8" x14ac:dyDescent="0.3">
      <c r="A44" s="31" t="s">
        <v>48</v>
      </c>
      <c r="B44" s="31"/>
      <c r="C44" s="31"/>
      <c r="D44" s="31" t="s">
        <v>62</v>
      </c>
      <c r="E44" s="71" t="s">
        <v>71</v>
      </c>
      <c r="F44" s="31" t="s">
        <v>33</v>
      </c>
      <c r="G44" s="31" t="s">
        <v>30</v>
      </c>
      <c r="H44" s="22" cm="1">
        <f t="array" ref="H44">_xlfn.SWITCH(G44,"XS",1,"S",2,"M",3,"L",5,"XL",8,"XXL",13,"XXXL",21,"")</f>
        <v>2</v>
      </c>
      <c r="I44" s="22">
        <f t="shared" ref="I44:I47" si="1">H44</f>
        <v>2</v>
      </c>
      <c r="J44" s="31"/>
      <c r="K44" s="31"/>
      <c r="L44" s="31"/>
      <c r="M44" s="31" t="s">
        <v>7</v>
      </c>
    </row>
    <row r="45" spans="1:13" s="15" customFormat="1" ht="57.6" x14ac:dyDescent="0.3">
      <c r="A45" s="31" t="s">
        <v>48</v>
      </c>
      <c r="B45" s="31"/>
      <c r="C45" s="31"/>
      <c r="D45" s="31" t="s">
        <v>62</v>
      </c>
      <c r="E45" s="71" t="s">
        <v>72</v>
      </c>
      <c r="F45" s="31" t="s">
        <v>33</v>
      </c>
      <c r="G45" s="31" t="s">
        <v>30</v>
      </c>
      <c r="H45" s="22" cm="1">
        <f t="array" ref="H45">_xlfn.SWITCH(G45,"XS",1,"S",2,"M",3,"L",5,"XL",8,"XXL",13,"XXXL",21,"")</f>
        <v>2</v>
      </c>
      <c r="I45" s="22">
        <f t="shared" si="1"/>
        <v>2</v>
      </c>
      <c r="J45" s="31"/>
      <c r="K45" s="31"/>
      <c r="L45" s="31"/>
      <c r="M45" s="31" t="s">
        <v>7</v>
      </c>
    </row>
    <row r="46" spans="1:13" ht="28.8" x14ac:dyDescent="0.3">
      <c r="A46" s="27" t="s">
        <v>48</v>
      </c>
      <c r="B46" s="27"/>
      <c r="C46" s="27"/>
      <c r="D46" s="27" t="s">
        <v>39</v>
      </c>
      <c r="E46" s="28"/>
      <c r="F46" s="72" t="s">
        <v>40</v>
      </c>
      <c r="G46" s="72" t="s">
        <v>31</v>
      </c>
      <c r="H46" s="72" cm="1">
        <f t="array" ref="H46">_xlfn.SWITCH(G46,"XS",1,"S",2,"M",3,"L",5,"XL",8,"XXL",13,"XXXL",21,"")</f>
        <v>3</v>
      </c>
      <c r="I46" s="72">
        <f t="shared" si="1"/>
        <v>3</v>
      </c>
      <c r="J46" s="52">
        <v>11</v>
      </c>
      <c r="K46" s="27" t="s">
        <v>73</v>
      </c>
      <c r="L46" s="27"/>
      <c r="M46" s="27" t="s">
        <v>7</v>
      </c>
    </row>
    <row r="47" spans="1:13" ht="28.8" x14ac:dyDescent="0.3">
      <c r="A47" s="27" t="s">
        <v>48</v>
      </c>
      <c r="B47" s="27"/>
      <c r="C47" s="27"/>
      <c r="D47" s="27" t="s">
        <v>39</v>
      </c>
      <c r="E47" s="28"/>
      <c r="F47" s="73"/>
      <c r="G47" s="73"/>
      <c r="H47" s="73"/>
      <c r="I47" s="73"/>
      <c r="J47" s="53"/>
      <c r="K47" s="27" t="s">
        <v>73</v>
      </c>
      <c r="L47" s="27"/>
      <c r="M47" s="27" t="s">
        <v>7</v>
      </c>
    </row>
    <row r="48" spans="1:13" ht="28.8" x14ac:dyDescent="0.3">
      <c r="A48" s="27" t="s">
        <v>48</v>
      </c>
      <c r="B48" s="27"/>
      <c r="C48" s="27"/>
      <c r="D48" s="27" t="s">
        <v>39</v>
      </c>
      <c r="E48" s="28"/>
      <c r="F48" s="73"/>
      <c r="G48" s="73"/>
      <c r="H48" s="73"/>
      <c r="I48" s="73"/>
      <c r="J48" s="53"/>
      <c r="K48" s="27" t="s">
        <v>73</v>
      </c>
      <c r="L48" s="27"/>
      <c r="M48" s="27" t="s">
        <v>7</v>
      </c>
    </row>
    <row r="49" spans="1:13" ht="28.8" x14ac:dyDescent="0.3">
      <c r="A49" s="27" t="s">
        <v>48</v>
      </c>
      <c r="B49" s="27"/>
      <c r="C49" s="27"/>
      <c r="D49" s="27" t="s">
        <v>39</v>
      </c>
      <c r="E49" s="28"/>
      <c r="F49" s="74"/>
      <c r="G49" s="74"/>
      <c r="H49" s="74"/>
      <c r="I49" s="74"/>
      <c r="J49" s="53"/>
      <c r="K49" s="27" t="s">
        <v>73</v>
      </c>
      <c r="L49" s="27"/>
      <c r="M49" s="27" t="s">
        <v>7</v>
      </c>
    </row>
    <row r="50" spans="1:13" ht="129.6" x14ac:dyDescent="0.3">
      <c r="A50" s="25" t="s">
        <v>48</v>
      </c>
      <c r="B50" s="25">
        <v>3.9</v>
      </c>
      <c r="C50" s="25" t="s">
        <v>79</v>
      </c>
      <c r="D50" s="25" t="s">
        <v>41</v>
      </c>
      <c r="E50" s="26" t="s">
        <v>80</v>
      </c>
      <c r="F50" s="25" t="s">
        <v>8</v>
      </c>
      <c r="G50" s="25" t="s">
        <v>31</v>
      </c>
      <c r="H50" s="25" cm="1">
        <f t="array" ref="H50">_xlfn.SWITCH(G50,"XS",1,"S",2,"M",3,"L",5,"XL",8,"XXL",13,"XXXL",21,"")</f>
        <v>3</v>
      </c>
      <c r="I50" s="25">
        <f t="shared" ref="I50:I68" si="2">H50</f>
        <v>3</v>
      </c>
      <c r="J50" s="53"/>
      <c r="K50" s="25" t="s">
        <v>74</v>
      </c>
      <c r="L50" s="25"/>
      <c r="M50" s="25" t="s">
        <v>75</v>
      </c>
    </row>
    <row r="51" spans="1:13" ht="43.2" x14ac:dyDescent="0.3">
      <c r="A51" s="25" t="s">
        <v>48</v>
      </c>
      <c r="B51" s="25">
        <v>3.9</v>
      </c>
      <c r="C51" s="25" t="s">
        <v>82</v>
      </c>
      <c r="D51" s="25" t="s">
        <v>41</v>
      </c>
      <c r="E51" s="26" t="s">
        <v>81</v>
      </c>
      <c r="F51" s="25" t="s">
        <v>8</v>
      </c>
      <c r="G51" s="25" t="s">
        <v>31</v>
      </c>
      <c r="H51" s="25" cm="1">
        <f t="array" ref="H51">_xlfn.SWITCH(G51,"XS",1,"S",2,"M",3,"L",5,"XL",8,"XXL",13,"XXXL",21,"")</f>
        <v>3</v>
      </c>
      <c r="I51" s="25">
        <f t="shared" si="2"/>
        <v>3</v>
      </c>
      <c r="J51" s="53"/>
      <c r="K51" s="25" t="s">
        <v>74</v>
      </c>
      <c r="L51" s="25"/>
      <c r="M51" s="25" t="s">
        <v>75</v>
      </c>
    </row>
    <row r="52" spans="1:13" ht="115.2" x14ac:dyDescent="0.3">
      <c r="A52" s="25" t="s">
        <v>48</v>
      </c>
      <c r="B52" s="25">
        <v>3.9</v>
      </c>
      <c r="C52" s="25" t="s">
        <v>82</v>
      </c>
      <c r="D52" s="25" t="s">
        <v>41</v>
      </c>
      <c r="E52" s="26" t="s">
        <v>83</v>
      </c>
      <c r="F52" s="25" t="s">
        <v>8</v>
      </c>
      <c r="G52" s="25" t="s">
        <v>30</v>
      </c>
      <c r="H52" s="25" cm="1">
        <f t="array" ref="H52">_xlfn.SWITCH(G52,"XS",1,"S",2,"M",3,"L",5,"XL",8,"XXL",13,"XXXL",21,"")</f>
        <v>2</v>
      </c>
      <c r="I52" s="25">
        <f t="shared" si="2"/>
        <v>2</v>
      </c>
      <c r="J52" s="54"/>
      <c r="K52" s="25" t="s">
        <v>74</v>
      </c>
      <c r="L52" s="25"/>
      <c r="M52" s="25" t="s">
        <v>75</v>
      </c>
    </row>
    <row r="53" spans="1:13" ht="57.6" x14ac:dyDescent="0.3">
      <c r="A53" s="25" t="s">
        <v>48</v>
      </c>
      <c r="B53" s="25">
        <v>3.9</v>
      </c>
      <c r="C53" s="25" t="s">
        <v>82</v>
      </c>
      <c r="D53" s="25" t="s">
        <v>41</v>
      </c>
      <c r="E53" s="26" t="s">
        <v>84</v>
      </c>
      <c r="F53" s="25" t="s">
        <v>8</v>
      </c>
      <c r="G53" s="25" t="s">
        <v>37</v>
      </c>
      <c r="H53" s="25" cm="1">
        <f t="array" ref="H53">_xlfn.SWITCH(G53,"XS",1,"S",2,"M",3,"L",5,"XL",8,"XXL",13,"XXXL",21,"")</f>
        <v>1</v>
      </c>
      <c r="I53" s="25">
        <f t="shared" si="2"/>
        <v>1</v>
      </c>
      <c r="J53" s="47"/>
      <c r="K53" s="25"/>
      <c r="L53" s="25"/>
      <c r="M53" s="25"/>
    </row>
    <row r="54" spans="1:13" s="15" customFormat="1" ht="86.4" x14ac:dyDescent="0.3">
      <c r="A54" s="31"/>
      <c r="B54" s="31"/>
      <c r="C54" s="31"/>
      <c r="D54" s="31" t="s">
        <v>62</v>
      </c>
      <c r="E54" s="65" t="s">
        <v>85</v>
      </c>
      <c r="F54" s="31" t="s">
        <v>33</v>
      </c>
      <c r="G54" s="31" t="s">
        <v>30</v>
      </c>
      <c r="H54" s="31" cm="1">
        <f t="array" ref="H54">_xlfn.SWITCH(G54,"XS",1,"S",2,"M",3,"L",5,"XL",8,"XXL",13,"XXXL",21,"")</f>
        <v>2</v>
      </c>
      <c r="I54" s="31">
        <f t="shared" si="2"/>
        <v>2</v>
      </c>
      <c r="J54" s="66"/>
      <c r="K54" s="31"/>
      <c r="L54" s="31"/>
      <c r="M54" s="31"/>
    </row>
    <row r="55" spans="1:13" s="15" customFormat="1" ht="43.2" x14ac:dyDescent="0.3">
      <c r="A55" s="31"/>
      <c r="B55" s="31"/>
      <c r="C55" s="31"/>
      <c r="D55" s="31" t="s">
        <v>62</v>
      </c>
      <c r="E55" s="65" t="s">
        <v>86</v>
      </c>
      <c r="F55" s="31" t="s">
        <v>33</v>
      </c>
      <c r="G55" s="31" t="s">
        <v>30</v>
      </c>
      <c r="H55" s="31" cm="1">
        <f t="array" ref="H55">_xlfn.SWITCH(G55,"XS",1,"S",2,"M",3,"L",5,"XL",8,"XXL",13,"XXXL",21,"")</f>
        <v>2</v>
      </c>
      <c r="I55" s="31">
        <f t="shared" si="2"/>
        <v>2</v>
      </c>
      <c r="J55" s="66"/>
      <c r="K55" s="31"/>
      <c r="L55" s="31"/>
      <c r="M55" s="31"/>
    </row>
    <row r="56" spans="1:13" ht="28.8" x14ac:dyDescent="0.3">
      <c r="A56" s="29" t="s">
        <v>48</v>
      </c>
      <c r="B56" s="29"/>
      <c r="C56" s="29"/>
      <c r="D56" s="29" t="s">
        <v>39</v>
      </c>
      <c r="E56" s="30"/>
      <c r="F56" s="29" t="s">
        <v>40</v>
      </c>
      <c r="G56" s="29" t="s">
        <v>37</v>
      </c>
      <c r="H56" s="29" cm="1">
        <f t="array" ref="H56">_xlfn.SWITCH(G56,"XS",1,"S",2,"M",3,"L",5,"XL",8,"XXL",13,"XXXL",21,"")</f>
        <v>1</v>
      </c>
      <c r="I56" s="29">
        <f t="shared" si="2"/>
        <v>1</v>
      </c>
      <c r="J56" s="58">
        <v>27</v>
      </c>
      <c r="K56" s="29" t="s">
        <v>73</v>
      </c>
      <c r="L56" s="29"/>
      <c r="M56" s="29" t="s">
        <v>7</v>
      </c>
    </row>
    <row r="57" spans="1:13" ht="28.8" x14ac:dyDescent="0.3">
      <c r="A57" s="29" t="s">
        <v>48</v>
      </c>
      <c r="B57" s="29"/>
      <c r="C57" s="29"/>
      <c r="D57" s="29" t="s">
        <v>39</v>
      </c>
      <c r="E57" s="30"/>
      <c r="F57" s="29" t="s">
        <v>40</v>
      </c>
      <c r="G57" s="29" t="s">
        <v>37</v>
      </c>
      <c r="H57" s="29" cm="1">
        <f t="array" ref="H57">_xlfn.SWITCH(G57,"XS",1,"S",2,"M",3,"L",5,"XL",8,"XXL",13,"XXXL",21,"")</f>
        <v>1</v>
      </c>
      <c r="I57" s="29">
        <f t="shared" si="2"/>
        <v>1</v>
      </c>
      <c r="J57" s="59"/>
      <c r="K57" s="29" t="s">
        <v>73</v>
      </c>
      <c r="L57" s="29"/>
      <c r="M57" s="29" t="s">
        <v>7</v>
      </c>
    </row>
    <row r="58" spans="1:13" ht="28.8" x14ac:dyDescent="0.3">
      <c r="A58" s="29" t="s">
        <v>48</v>
      </c>
      <c r="B58" s="29"/>
      <c r="C58" s="29"/>
      <c r="D58" s="29" t="s">
        <v>39</v>
      </c>
      <c r="E58" s="30"/>
      <c r="F58" s="29" t="s">
        <v>40</v>
      </c>
      <c r="G58" s="29" t="s">
        <v>37</v>
      </c>
      <c r="H58" s="29" cm="1">
        <f t="array" ref="H58">_xlfn.SWITCH(G58,"XS",1,"S",2,"M",3,"L",5,"XL",8,"XXL",13,"XXXL",21,"")</f>
        <v>1</v>
      </c>
      <c r="I58" s="29">
        <f t="shared" si="2"/>
        <v>1</v>
      </c>
      <c r="J58" s="59"/>
      <c r="K58" s="29" t="s">
        <v>73</v>
      </c>
      <c r="L58" s="29"/>
      <c r="M58" s="29" t="s">
        <v>7</v>
      </c>
    </row>
    <row r="59" spans="1:13" ht="28.8" x14ac:dyDescent="0.3">
      <c r="A59" s="32" t="s">
        <v>48</v>
      </c>
      <c r="B59" s="75" t="s">
        <v>87</v>
      </c>
      <c r="C59" s="32"/>
      <c r="D59" s="32" t="s">
        <v>41</v>
      </c>
      <c r="E59" s="33"/>
      <c r="F59" s="32" t="s">
        <v>8</v>
      </c>
      <c r="G59" s="32" t="s">
        <v>31</v>
      </c>
      <c r="H59" s="32" cm="1">
        <f t="array" ref="H59">_xlfn.SWITCH(G59,"XS",1,"S",2,"M",3,"L",5,"XL",8,"XXL",13,"XXXL",21,"")</f>
        <v>3</v>
      </c>
      <c r="I59" s="32">
        <f t="shared" si="2"/>
        <v>3</v>
      </c>
      <c r="J59" s="59"/>
      <c r="K59" s="32" t="s">
        <v>74</v>
      </c>
      <c r="L59" s="32"/>
      <c r="M59" s="32" t="s">
        <v>75</v>
      </c>
    </row>
    <row r="60" spans="1:13" ht="28.8" x14ac:dyDescent="0.3">
      <c r="A60" s="32" t="s">
        <v>48</v>
      </c>
      <c r="B60" s="32"/>
      <c r="C60" s="32"/>
      <c r="D60" s="32" t="s">
        <v>41</v>
      </c>
      <c r="E60" s="33"/>
      <c r="F60" s="32" t="s">
        <v>34</v>
      </c>
      <c r="G60" s="32" t="s">
        <v>31</v>
      </c>
      <c r="H60" s="32" cm="1">
        <f t="array" ref="H60">_xlfn.SWITCH(G60,"XS",1,"S",2,"M",3,"L",5,"XL",8,"XXL",13,"XXXL",21,"")</f>
        <v>3</v>
      </c>
      <c r="I60" s="32">
        <f t="shared" si="2"/>
        <v>3</v>
      </c>
      <c r="J60" s="59"/>
      <c r="K60" s="32" t="s">
        <v>74</v>
      </c>
      <c r="L60" s="32"/>
      <c r="M60" s="32" t="s">
        <v>75</v>
      </c>
    </row>
    <row r="61" spans="1:13" ht="28.8" x14ac:dyDescent="0.3">
      <c r="A61" s="32" t="s">
        <v>48</v>
      </c>
      <c r="B61" s="32"/>
      <c r="C61" s="32"/>
      <c r="D61" s="32" t="s">
        <v>41</v>
      </c>
      <c r="E61" s="33"/>
      <c r="F61" s="32" t="s">
        <v>8</v>
      </c>
      <c r="G61" s="32" t="s">
        <v>37</v>
      </c>
      <c r="H61" s="32" cm="1">
        <f t="array" ref="H61">_xlfn.SWITCH(G61,"XS",1,"S",2,"M",3,"L",5,"XL",8,"XXL",13,"XXXL",21,"")</f>
        <v>1</v>
      </c>
      <c r="I61" s="32">
        <f t="shared" si="2"/>
        <v>1</v>
      </c>
      <c r="J61" s="59"/>
      <c r="K61" s="32" t="s">
        <v>26</v>
      </c>
      <c r="L61" s="32"/>
      <c r="M61" s="32" t="s">
        <v>7</v>
      </c>
    </row>
    <row r="62" spans="1:13" ht="28.8" x14ac:dyDescent="0.3">
      <c r="A62" s="32" t="s">
        <v>48</v>
      </c>
      <c r="B62" s="32"/>
      <c r="C62" s="32"/>
      <c r="D62" s="32" t="s">
        <v>41</v>
      </c>
      <c r="E62" s="33"/>
      <c r="F62" s="32" t="s">
        <v>8</v>
      </c>
      <c r="G62" s="32" t="s">
        <v>30</v>
      </c>
      <c r="H62" s="32" cm="1">
        <f t="array" ref="H62">_xlfn.SWITCH(G62,"XS",1,"S",2,"M",3,"L",5,"XL",8,"XXL",13,"XXXL",21,"")</f>
        <v>2</v>
      </c>
      <c r="I62" s="32">
        <f t="shared" si="2"/>
        <v>2</v>
      </c>
      <c r="J62" s="59"/>
      <c r="K62" s="32" t="s">
        <v>74</v>
      </c>
      <c r="L62" s="32"/>
      <c r="M62" s="32" t="s">
        <v>75</v>
      </c>
    </row>
    <row r="63" spans="1:13" ht="28.8" x14ac:dyDescent="0.3">
      <c r="A63" s="32" t="s">
        <v>48</v>
      </c>
      <c r="B63" s="32"/>
      <c r="C63" s="32"/>
      <c r="D63" s="32" t="s">
        <v>41</v>
      </c>
      <c r="E63" s="33"/>
      <c r="F63" s="32" t="s">
        <v>8</v>
      </c>
      <c r="G63" s="32" t="s">
        <v>35</v>
      </c>
      <c r="H63" s="32" cm="1">
        <f t="array" ref="H63">_xlfn.SWITCH(G63,"XS",1,"S",2,"M",3,"L",5,"XL",8,"XXL",13,"XXXL",21,"")</f>
        <v>5</v>
      </c>
      <c r="I63" s="32">
        <f t="shared" si="2"/>
        <v>5</v>
      </c>
      <c r="J63" s="59"/>
      <c r="K63" s="32" t="s">
        <v>74</v>
      </c>
      <c r="L63" s="32"/>
      <c r="M63" s="32" t="s">
        <v>75</v>
      </c>
    </row>
    <row r="64" spans="1:13" ht="28.8" x14ac:dyDescent="0.3">
      <c r="A64" s="32" t="s">
        <v>48</v>
      </c>
      <c r="B64" s="32"/>
      <c r="C64" s="32"/>
      <c r="D64" s="32" t="s">
        <v>41</v>
      </c>
      <c r="E64" s="33"/>
      <c r="F64" s="32" t="s">
        <v>8</v>
      </c>
      <c r="G64" s="32" t="s">
        <v>31</v>
      </c>
      <c r="H64" s="32" cm="1">
        <f t="array" ref="H64">_xlfn.SWITCH(G64,"XS",1,"S",2,"M",3,"L",5,"XL",8,"XXL",13,"XXXL",21,"")</f>
        <v>3</v>
      </c>
      <c r="I64" s="32">
        <f t="shared" si="2"/>
        <v>3</v>
      </c>
      <c r="J64" s="59"/>
      <c r="K64" s="32" t="s">
        <v>74</v>
      </c>
      <c r="L64" s="32"/>
      <c r="M64" s="32" t="s">
        <v>75</v>
      </c>
    </row>
    <row r="65" spans="1:13" ht="28.8" x14ac:dyDescent="0.3">
      <c r="A65" s="32" t="s">
        <v>48</v>
      </c>
      <c r="B65" s="32"/>
      <c r="C65" s="32"/>
      <c r="D65" s="32" t="s">
        <v>41</v>
      </c>
      <c r="E65" s="33"/>
      <c r="F65" s="32" t="s">
        <v>8</v>
      </c>
      <c r="G65" s="32" t="s">
        <v>37</v>
      </c>
      <c r="H65" s="32" cm="1">
        <f t="array" ref="H65">_xlfn.SWITCH(G65,"XS",1,"S",2,"M",3,"L",5,"XL",8,"XXL",13,"XXXL",21,"")</f>
        <v>1</v>
      </c>
      <c r="I65" s="32">
        <f t="shared" si="2"/>
        <v>1</v>
      </c>
      <c r="J65" s="59"/>
      <c r="K65" s="32" t="s">
        <v>74</v>
      </c>
      <c r="L65" s="32"/>
      <c r="M65" s="32" t="s">
        <v>75</v>
      </c>
    </row>
    <row r="66" spans="1:13" ht="28.8" x14ac:dyDescent="0.3">
      <c r="A66" s="32" t="s">
        <v>48</v>
      </c>
      <c r="B66" s="32"/>
      <c r="C66" s="32"/>
      <c r="D66" s="32" t="s">
        <v>41</v>
      </c>
      <c r="E66" s="33"/>
      <c r="F66" s="32" t="s">
        <v>8</v>
      </c>
      <c r="G66" s="32" t="s">
        <v>37</v>
      </c>
      <c r="H66" s="32" cm="1">
        <f t="array" ref="H66">_xlfn.SWITCH(G66,"XS",1,"S",2,"M",3,"L",5,"XL",8,"XXL",13,"XXXL",21,"")</f>
        <v>1</v>
      </c>
      <c r="I66" s="32">
        <f t="shared" si="2"/>
        <v>1</v>
      </c>
      <c r="J66" s="59"/>
      <c r="K66" s="32" t="s">
        <v>74</v>
      </c>
      <c r="L66" s="32"/>
      <c r="M66" s="32" t="s">
        <v>75</v>
      </c>
    </row>
    <row r="67" spans="1:13" ht="28.8" x14ac:dyDescent="0.3">
      <c r="A67" s="32" t="s">
        <v>48</v>
      </c>
      <c r="B67" s="32"/>
      <c r="C67" s="32"/>
      <c r="D67" s="32" t="s">
        <v>41</v>
      </c>
      <c r="E67" s="33"/>
      <c r="F67" s="32" t="s">
        <v>8</v>
      </c>
      <c r="G67" s="32" t="s">
        <v>31</v>
      </c>
      <c r="H67" s="32" cm="1">
        <f t="array" ref="H67">_xlfn.SWITCH(G67,"XS",1,"S",2,"M",3,"L",5,"XL",8,"XXL",13,"XXXL",21,"")</f>
        <v>3</v>
      </c>
      <c r="I67" s="32">
        <f t="shared" si="2"/>
        <v>3</v>
      </c>
      <c r="J67" s="59"/>
      <c r="K67" s="32" t="s">
        <v>74</v>
      </c>
      <c r="L67" s="32"/>
      <c r="M67" s="32" t="s">
        <v>75</v>
      </c>
    </row>
    <row r="68" spans="1:13" ht="28.8" x14ac:dyDescent="0.3">
      <c r="A68" s="32" t="s">
        <v>48</v>
      </c>
      <c r="B68" s="32"/>
      <c r="C68" s="32"/>
      <c r="D68" s="32" t="s">
        <v>41</v>
      </c>
      <c r="E68" s="33"/>
      <c r="F68" s="32" t="s">
        <v>8</v>
      </c>
      <c r="G68" s="32" t="s">
        <v>30</v>
      </c>
      <c r="H68" s="32" cm="1">
        <f t="array" ref="H68">_xlfn.SWITCH(G68,"XS",1,"S",2,"M",3,"L",5,"XL",8,"XXL",13,"XXXL",21,"")</f>
        <v>2</v>
      </c>
      <c r="I68" s="32">
        <f t="shared" si="2"/>
        <v>2</v>
      </c>
      <c r="J68" s="60"/>
      <c r="K68" s="32" t="s">
        <v>74</v>
      </c>
      <c r="L68" s="32"/>
      <c r="M68" s="32" t="s">
        <v>75</v>
      </c>
    </row>
    <row r="69" spans="1:13" s="15" customFormat="1" ht="72" x14ac:dyDescent="0.3">
      <c r="A69" s="31"/>
      <c r="B69" s="31"/>
      <c r="C69" s="31"/>
      <c r="D69" s="31" t="s">
        <v>62</v>
      </c>
      <c r="E69" s="65" t="s">
        <v>88</v>
      </c>
      <c r="F69" s="31"/>
      <c r="G69" s="31"/>
      <c r="H69" s="31"/>
      <c r="I69" s="31"/>
      <c r="J69" s="66"/>
      <c r="K69" s="31"/>
      <c r="L69" s="31"/>
      <c r="M69" s="31"/>
    </row>
    <row r="70" spans="1:13" s="15" customFormat="1" ht="28.8" x14ac:dyDescent="0.3">
      <c r="A70" s="31"/>
      <c r="B70" s="31"/>
      <c r="C70" s="31"/>
      <c r="D70" s="31" t="s">
        <v>62</v>
      </c>
      <c r="E70" s="65" t="s">
        <v>89</v>
      </c>
      <c r="F70" s="31"/>
      <c r="G70" s="31"/>
      <c r="H70" s="31"/>
      <c r="I70" s="31"/>
      <c r="J70" s="66"/>
      <c r="K70" s="31"/>
      <c r="L70" s="31"/>
      <c r="M70" s="31"/>
    </row>
    <row r="71" spans="1:13" s="15" customFormat="1" ht="43.2" x14ac:dyDescent="0.3">
      <c r="A71" s="31"/>
      <c r="B71" s="31"/>
      <c r="C71" s="31"/>
      <c r="D71" s="31" t="s">
        <v>62</v>
      </c>
      <c r="E71" s="65" t="s">
        <v>90</v>
      </c>
      <c r="F71" s="31"/>
      <c r="G71" s="31"/>
      <c r="H71" s="31"/>
      <c r="I71" s="31"/>
      <c r="J71" s="66"/>
      <c r="K71" s="31"/>
      <c r="L71" s="31"/>
      <c r="M71" s="31"/>
    </row>
    <row r="72" spans="1:13" ht="28.8" x14ac:dyDescent="0.3">
      <c r="A72" s="29" t="s">
        <v>48</v>
      </c>
      <c r="B72" s="36"/>
      <c r="C72" s="36"/>
      <c r="D72" s="36" t="s">
        <v>39</v>
      </c>
      <c r="E72" s="37"/>
      <c r="F72" s="36" t="s">
        <v>40</v>
      </c>
      <c r="G72" s="36" t="s">
        <v>37</v>
      </c>
      <c r="H72" s="36" cm="1">
        <f t="array" ref="H72">_xlfn.SWITCH(G72,"XS",1,"S",2,"M",3,"L",5,"XL",8,"XXL",13,"XXXL",21,"")</f>
        <v>1</v>
      </c>
      <c r="I72" s="36">
        <f>H72</f>
        <v>1</v>
      </c>
      <c r="J72" s="61">
        <v>27</v>
      </c>
      <c r="K72" s="36" t="s">
        <v>73</v>
      </c>
      <c r="L72" s="36"/>
      <c r="M72" s="36" t="s">
        <v>7</v>
      </c>
    </row>
    <row r="73" spans="1:13" ht="28.8" x14ac:dyDescent="0.3">
      <c r="A73" s="32" t="s">
        <v>48</v>
      </c>
      <c r="B73" s="34"/>
      <c r="C73" s="34"/>
      <c r="D73" s="34" t="s">
        <v>41</v>
      </c>
      <c r="E73" s="35"/>
      <c r="F73" s="34" t="s">
        <v>8</v>
      </c>
      <c r="G73" s="34" t="s">
        <v>32</v>
      </c>
      <c r="H73" s="34" cm="1">
        <f t="array" ref="H73">_xlfn.SWITCH(G73,"XS",1,"S",2,"M",3,"L",5,"XL",8,"XXL",13,"XXXL",21,"")</f>
        <v>8</v>
      </c>
      <c r="I73" s="34">
        <f>H73</f>
        <v>8</v>
      </c>
      <c r="J73" s="62"/>
      <c r="K73" s="34" t="s">
        <v>74</v>
      </c>
      <c r="L73" s="34"/>
      <c r="M73" s="34" t="s">
        <v>7</v>
      </c>
    </row>
    <row r="74" spans="1:13" ht="28.8" x14ac:dyDescent="0.3">
      <c r="A74" s="32" t="s">
        <v>48</v>
      </c>
      <c r="B74" s="34"/>
      <c r="C74" s="34"/>
      <c r="D74" s="34" t="s">
        <v>41</v>
      </c>
      <c r="E74" s="35"/>
      <c r="F74" s="34" t="s">
        <v>8</v>
      </c>
      <c r="G74" s="34" t="s">
        <v>35</v>
      </c>
      <c r="H74" s="34" cm="1">
        <f t="array" ref="H74">_xlfn.SWITCH(G74,"XS",1,"S",2,"M",3,"L",5,"XL",8,"XXL",13,"XXXL",21,"")</f>
        <v>5</v>
      </c>
      <c r="I74" s="34">
        <f>H74</f>
        <v>5</v>
      </c>
      <c r="J74" s="62"/>
      <c r="K74" s="34" t="s">
        <v>74</v>
      </c>
      <c r="L74" s="34"/>
      <c r="M74" s="34" t="s">
        <v>7</v>
      </c>
    </row>
    <row r="75" spans="1:13" ht="28.8" x14ac:dyDescent="0.3">
      <c r="A75" s="32" t="s">
        <v>48</v>
      </c>
      <c r="B75" s="34"/>
      <c r="C75" s="34"/>
      <c r="D75" s="34" t="s">
        <v>41</v>
      </c>
      <c r="E75" s="35"/>
      <c r="F75" s="34" t="s">
        <v>33</v>
      </c>
      <c r="G75" s="34" t="s">
        <v>32</v>
      </c>
      <c r="H75" s="34" cm="1">
        <f t="array" ref="H75">_xlfn.SWITCH(G75,"XS",1,"S",2,"M",3,"L",5,"XL",8,"XXL",13,"XXXL",21,"")</f>
        <v>8</v>
      </c>
      <c r="I75" s="34">
        <f>H75</f>
        <v>8</v>
      </c>
      <c r="J75" s="62"/>
      <c r="K75" s="34" t="s">
        <v>26</v>
      </c>
      <c r="L75" s="34"/>
      <c r="M75" s="34" t="s">
        <v>7</v>
      </c>
    </row>
    <row r="76" spans="1:13" ht="28.8" x14ac:dyDescent="0.3">
      <c r="A76" s="32" t="s">
        <v>48</v>
      </c>
      <c r="B76" s="34"/>
      <c r="C76" s="34"/>
      <c r="D76" s="34" t="s">
        <v>41</v>
      </c>
      <c r="E76" s="35"/>
      <c r="F76" s="34" t="s">
        <v>33</v>
      </c>
      <c r="G76" s="34" t="s">
        <v>35</v>
      </c>
      <c r="H76" s="34" cm="1">
        <f t="array" ref="H76">_xlfn.SWITCH(G76,"XS",1,"S",2,"M",3,"L",5,"XL",8,"XXL",13,"XXXL",21,"")</f>
        <v>5</v>
      </c>
      <c r="I76" s="34">
        <f>H76</f>
        <v>5</v>
      </c>
      <c r="J76" s="63"/>
      <c r="K76" s="34" t="s">
        <v>26</v>
      </c>
      <c r="L76" s="34"/>
      <c r="M76" s="34" t="s">
        <v>7</v>
      </c>
    </row>
    <row r="77" spans="1:13" s="15" customFormat="1" ht="115.2" x14ac:dyDescent="0.3">
      <c r="A77" s="31"/>
      <c r="B77" s="31"/>
      <c r="C77" s="31"/>
      <c r="D77" s="31" t="s">
        <v>62</v>
      </c>
      <c r="E77" s="65" t="s">
        <v>91</v>
      </c>
      <c r="F77" s="31"/>
      <c r="G77" s="31"/>
      <c r="H77" s="31"/>
      <c r="I77" s="31"/>
      <c r="J77" s="31"/>
      <c r="K77" s="31"/>
      <c r="L77" s="31"/>
      <c r="M77" s="31"/>
    </row>
  </sheetData>
  <mergeCells count="12">
    <mergeCell ref="J56:J68"/>
    <mergeCell ref="J72:J76"/>
    <mergeCell ref="J35:J42"/>
    <mergeCell ref="J46:J52"/>
    <mergeCell ref="F39:F42"/>
    <mergeCell ref="G39:G42"/>
    <mergeCell ref="H39:H42"/>
    <mergeCell ref="I39:I42"/>
    <mergeCell ref="G35:G38"/>
    <mergeCell ref="H35:H38"/>
    <mergeCell ref="F35:F38"/>
    <mergeCell ref="I35:I38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9B43-8ACA-4B5D-A185-0146C384427F}">
  <dimension ref="A1:K12"/>
  <sheetViews>
    <sheetView workbookViewId="0">
      <selection activeCell="W15" sqref="W15"/>
    </sheetView>
  </sheetViews>
  <sheetFormatPr defaultRowHeight="14.4" x14ac:dyDescent="0.3"/>
  <cols>
    <col min="1" max="1" width="4.88671875" style="2" bestFit="1" customWidth="1"/>
    <col min="2" max="2" width="6.109375" style="40" bestFit="1" customWidth="1"/>
    <col min="3" max="3" width="8.44140625" style="2" bestFit="1" customWidth="1"/>
    <col min="4" max="4" width="6" style="2" bestFit="1" customWidth="1"/>
  </cols>
  <sheetData>
    <row r="1" spans="1:11" ht="57.6" x14ac:dyDescent="0.3">
      <c r="A1" s="2" t="s">
        <v>42</v>
      </c>
      <c r="B1" s="39" t="s">
        <v>43</v>
      </c>
      <c r="C1" s="1" t="s">
        <v>44</v>
      </c>
      <c r="D1" s="1" t="s">
        <v>45</v>
      </c>
    </row>
    <row r="2" spans="1:11" x14ac:dyDescent="0.3">
      <c r="A2" s="2">
        <v>0</v>
      </c>
      <c r="B2" s="39">
        <v>156</v>
      </c>
      <c r="C2" s="1">
        <v>156</v>
      </c>
      <c r="D2" s="1">
        <v>0</v>
      </c>
    </row>
    <row r="3" spans="1:11" x14ac:dyDescent="0.3">
      <c r="A3" s="2">
        <v>1</v>
      </c>
      <c r="B3" s="40">
        <f>156-SUM(D$3:D3)</f>
        <v>156</v>
      </c>
      <c r="C3" s="2">
        <f>156-A3*15.6</f>
        <v>140.4</v>
      </c>
      <c r="D3" s="2">
        <v>0</v>
      </c>
    </row>
    <row r="4" spans="1:11" x14ac:dyDescent="0.3">
      <c r="A4" s="2">
        <v>2</v>
      </c>
      <c r="B4" s="40">
        <f>156-SUM(D$3:D4)</f>
        <v>156</v>
      </c>
      <c r="C4" s="2">
        <f t="shared" ref="C4:C12" si="0">156-A4*15.6</f>
        <v>124.8</v>
      </c>
      <c r="D4" s="2">
        <v>0</v>
      </c>
      <c r="K4" s="38"/>
    </row>
    <row r="5" spans="1:11" x14ac:dyDescent="0.3">
      <c r="A5" s="2">
        <v>3</v>
      </c>
      <c r="B5" s="40">
        <f>156-SUM(D$3:D5)</f>
        <v>156</v>
      </c>
      <c r="C5" s="2">
        <f t="shared" si="0"/>
        <v>109.2</v>
      </c>
      <c r="D5" s="2">
        <v>0</v>
      </c>
    </row>
    <row r="6" spans="1:11" x14ac:dyDescent="0.3">
      <c r="A6" s="2">
        <v>4</v>
      </c>
      <c r="B6" s="40">
        <f>156-SUM(D$3:D6)</f>
        <v>156</v>
      </c>
      <c r="C6" s="2">
        <f t="shared" si="0"/>
        <v>93.6</v>
      </c>
      <c r="D6" s="2">
        <v>0</v>
      </c>
    </row>
    <row r="7" spans="1:11" x14ac:dyDescent="0.3">
      <c r="A7" s="2">
        <v>5</v>
      </c>
      <c r="B7" s="40">
        <f>156-SUM(D$3:D7)</f>
        <v>148</v>
      </c>
      <c r="C7" s="2">
        <f t="shared" si="0"/>
        <v>78</v>
      </c>
      <c r="D7" s="2">
        <v>8</v>
      </c>
    </row>
    <row r="8" spans="1:11" x14ac:dyDescent="0.3">
      <c r="A8" s="2">
        <v>6</v>
      </c>
      <c r="B8" s="40">
        <f>156-SUM(D$3:D8)</f>
        <v>148</v>
      </c>
      <c r="C8" s="2">
        <f t="shared" si="0"/>
        <v>62.400000000000006</v>
      </c>
    </row>
    <row r="9" spans="1:11" x14ac:dyDescent="0.3">
      <c r="A9" s="2">
        <v>7</v>
      </c>
      <c r="B9" s="40">
        <f>156-SUM(D$3:D9)</f>
        <v>148</v>
      </c>
      <c r="C9" s="2">
        <f t="shared" si="0"/>
        <v>46.8</v>
      </c>
    </row>
    <row r="10" spans="1:11" x14ac:dyDescent="0.3">
      <c r="A10" s="2">
        <v>8</v>
      </c>
      <c r="B10" s="40">
        <f>156-SUM(D$3:D10)</f>
        <v>148</v>
      </c>
      <c r="C10" s="2">
        <f t="shared" si="0"/>
        <v>31.200000000000003</v>
      </c>
    </row>
    <row r="11" spans="1:11" x14ac:dyDescent="0.3">
      <c r="A11" s="2">
        <v>9</v>
      </c>
      <c r="B11" s="40">
        <f>156-SUM(D$3:D11)</f>
        <v>148</v>
      </c>
      <c r="C11" s="2">
        <f t="shared" si="0"/>
        <v>15.599999999999994</v>
      </c>
    </row>
    <row r="12" spans="1:11" x14ac:dyDescent="0.3">
      <c r="A12" s="2">
        <v>10</v>
      </c>
      <c r="B12" s="40">
        <f>156-SUM(D$3:D12)</f>
        <v>148</v>
      </c>
      <c r="C12" s="2">
        <f t="shared" si="0"/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/>
  </sheetViews>
  <sheetFormatPr defaultRowHeight="14.4" x14ac:dyDescent="0.3"/>
  <sheetData>
    <row r="1" spans="1:1" x14ac:dyDescent="0.3">
      <c r="A1" t="s">
        <v>9</v>
      </c>
    </row>
    <row r="2" spans="1:1" x14ac:dyDescent="0.3">
      <c r="A2" t="s">
        <v>10</v>
      </c>
    </row>
    <row r="3" spans="1:1" x14ac:dyDescent="0.3">
      <c r="A3" t="s">
        <v>11</v>
      </c>
    </row>
    <row r="4" spans="1:1" x14ac:dyDescent="0.3">
      <c r="A4" t="s">
        <v>12</v>
      </c>
    </row>
    <row r="5" spans="1:1" x14ac:dyDescent="0.3">
      <c r="A5" t="s">
        <v>13</v>
      </c>
    </row>
    <row r="6" spans="1:1" x14ac:dyDescent="0.3">
      <c r="A6" t="s">
        <v>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>
      <selection activeCell="B2" sqref="B2"/>
    </sheetView>
  </sheetViews>
  <sheetFormatPr defaultColWidth="13.44140625" defaultRowHeight="14.4" x14ac:dyDescent="0.3"/>
  <cols>
    <col min="1" max="2" width="13.44140625" style="1"/>
    <col min="3" max="16384" width="13.44140625" style="2"/>
  </cols>
  <sheetData>
    <row r="1" spans="1:2" ht="43.2" x14ac:dyDescent="0.3">
      <c r="A1" s="1" t="s">
        <v>15</v>
      </c>
      <c r="B1" s="1" t="s">
        <v>36</v>
      </c>
    </row>
    <row r="2" spans="1:2" x14ac:dyDescent="0.3">
      <c r="A2" s="1" t="s">
        <v>16</v>
      </c>
    </row>
    <row r="3" spans="1:2" x14ac:dyDescent="0.3">
      <c r="A3" s="1" t="s">
        <v>17</v>
      </c>
    </row>
    <row r="4" spans="1:2" x14ac:dyDescent="0.3">
      <c r="A4" s="1" t="s">
        <v>18</v>
      </c>
    </row>
    <row r="5" spans="1:2" x14ac:dyDescent="0.3">
      <c r="A5" s="1" t="s">
        <v>19</v>
      </c>
    </row>
    <row r="6" spans="1:2" x14ac:dyDescent="0.3">
      <c r="A6" s="1" t="s">
        <v>20</v>
      </c>
    </row>
    <row r="7" spans="1:2" x14ac:dyDescent="0.3">
      <c r="A7" s="1" t="s">
        <v>21</v>
      </c>
    </row>
    <row r="8" spans="1:2" x14ac:dyDescent="0.3">
      <c r="A8" s="1" t="s">
        <v>22</v>
      </c>
    </row>
    <row r="9" spans="1:2" x14ac:dyDescent="0.3">
      <c r="A9" s="1" t="s">
        <v>23</v>
      </c>
    </row>
    <row r="10" spans="1:2" x14ac:dyDescent="0.3">
      <c r="A10" s="1" t="s">
        <v>24</v>
      </c>
    </row>
    <row r="11" spans="1:2" x14ac:dyDescent="0.3">
      <c r="A11" s="1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Sprint Board</vt:lpstr>
      <vt:lpstr>Sheet1</vt:lpstr>
      <vt:lpstr>Daily Standup Guide</vt:lpstr>
      <vt:lpstr>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2026-01-19T17:48:44Z</dcterms:modified>
</cp:coreProperties>
</file>