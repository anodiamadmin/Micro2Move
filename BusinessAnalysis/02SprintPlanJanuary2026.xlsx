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GitHub\Micro2Move\BusinessAnalysis\"/>
    </mc:Choice>
  </mc:AlternateContent>
  <xr:revisionPtr revIDLastSave="0" documentId="13_ncr:1_{A0871B4E-B768-4FBF-A9A2-AA0C7F515C43}" xr6:coauthVersionLast="47" xr6:coauthVersionMax="47" xr10:uidLastSave="{00000000-0000-0000-0000-000000000000}"/>
  <bookViews>
    <workbookView xWindow="-96" yWindow="0" windowWidth="15684" windowHeight="12336" xr2:uid="{00000000-000D-0000-FFFF-FFFF00000000}"/>
  </bookViews>
  <sheets>
    <sheet name="Sprint Board" sheetId="1" r:id="rId1"/>
    <sheet name="Burndown" sheetId="4" r:id="rId2"/>
    <sheet name="Daily Standup Guide" sheetId="2" r:id="rId3"/>
    <sheet name="Ambiguiti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63" i="1" l="1" a="1"/>
  <c r="H63" i="1" s="1"/>
  <c r="I63" i="1" s="1"/>
  <c r="H59" i="1" a="1"/>
  <c r="H59" i="1" s="1"/>
  <c r="I59" i="1" s="1"/>
  <c r="H47" i="1" a="1"/>
  <c r="H47" i="1" s="1"/>
  <c r="I47" i="1" s="1"/>
  <c r="H75" i="1" a="1"/>
  <c r="H75" i="1" s="1"/>
  <c r="I75" i="1" s="1"/>
  <c r="H69" i="1" a="1"/>
  <c r="H69" i="1" s="1"/>
  <c r="I69" i="1" s="1"/>
  <c r="H68" i="1" a="1"/>
  <c r="H68" i="1" s="1"/>
  <c r="I68" i="1" s="1"/>
  <c r="H67" i="1" a="1"/>
  <c r="H67" i="1" s="1"/>
  <c r="I67" i="1" s="1"/>
  <c r="H53" i="1" a="1"/>
  <c r="H53" i="1" s="1"/>
  <c r="I53" i="1" s="1"/>
  <c r="H52" i="1" a="1"/>
  <c r="H52" i="1" s="1"/>
  <c r="I52" i="1" s="1"/>
  <c r="H50" i="1" a="1"/>
  <c r="H50" i="1" s="1"/>
  <c r="I50" i="1" s="1"/>
  <c r="H73" i="1" a="1"/>
  <c r="H73" i="1" s="1"/>
  <c r="I73" i="1" s="1"/>
  <c r="H72" i="1" a="1"/>
  <c r="H72" i="1" s="1"/>
  <c r="I72" i="1" s="1"/>
  <c r="H71" i="1" a="1"/>
  <c r="H71" i="1" s="1"/>
  <c r="I71" i="1" s="1"/>
  <c r="H70" i="1" a="1"/>
  <c r="H70" i="1" s="1"/>
  <c r="I70" i="1" s="1"/>
  <c r="H66" i="1" a="1"/>
  <c r="H66" i="1" s="1"/>
  <c r="I66" i="1" s="1"/>
  <c r="H65" i="1" a="1"/>
  <c r="H65" i="1" s="1"/>
  <c r="I65" i="1" s="1"/>
  <c r="H64" i="1" a="1"/>
  <c r="H64" i="1" s="1"/>
  <c r="I64" i="1" s="1"/>
  <c r="H62" i="1" a="1"/>
  <c r="H62" i="1" s="1"/>
  <c r="I62" i="1" s="1"/>
  <c r="H61" i="1" a="1"/>
  <c r="H61" i="1" s="1"/>
  <c r="I61" i="1" s="1"/>
  <c r="H60" i="1" a="1"/>
  <c r="H60" i="1" s="1"/>
  <c r="I60" i="1" s="1"/>
  <c r="H58" i="1" a="1"/>
  <c r="H58" i="1" s="1"/>
  <c r="I58" i="1" s="1"/>
  <c r="H54" i="1" a="1"/>
  <c r="H54" i="1" s="1"/>
  <c r="I54" i="1" s="1"/>
  <c r="H57" i="1" a="1"/>
  <c r="H57" i="1" s="1"/>
  <c r="I57" i="1" s="1"/>
  <c r="H49" i="1" a="1"/>
  <c r="H49" i="1" s="1"/>
  <c r="I49" i="1" s="1"/>
  <c r="H48" i="1" a="1"/>
  <c r="H48" i="1" s="1"/>
  <c r="I48" i="1" s="1"/>
  <c r="H44" i="1" a="1"/>
  <c r="H44" i="1" s="1"/>
  <c r="I44" i="1" s="1"/>
  <c r="H42" i="1" l="1" a="1"/>
  <c r="H42" i="1" s="1"/>
  <c r="I42" i="1" s="1"/>
  <c r="H41" i="1" a="1"/>
  <c r="H41" i="1" s="1"/>
  <c r="I41" i="1" s="1"/>
  <c r="H16" i="1" a="1"/>
  <c r="H16" i="1" s="1"/>
  <c r="I16" i="1" s="1"/>
  <c r="H18" i="1" a="1"/>
  <c r="H18" i="1" s="1"/>
  <c r="I18" i="1" s="1"/>
  <c r="H19" i="1" a="1"/>
  <c r="H19" i="1" s="1"/>
  <c r="I19" i="1" s="1"/>
  <c r="H24" i="1" a="1"/>
  <c r="H24" i="1" s="1"/>
  <c r="H25" i="1" a="1"/>
  <c r="H25" i="1" s="1"/>
  <c r="H11" i="1" a="1"/>
  <c r="H11" i="1" s="1"/>
  <c r="I11" i="1" s="1"/>
  <c r="H7" i="1" a="1"/>
  <c r="H7" i="1" s="1"/>
  <c r="I7" i="1" s="1"/>
  <c r="J1" i="1"/>
  <c r="H3" i="1" a="1"/>
  <c r="H3" i="1" s="1"/>
  <c r="I3" i="1" s="1"/>
  <c r="H15" i="1" a="1"/>
  <c r="H15" i="1" s="1"/>
  <c r="I15" i="1" s="1"/>
  <c r="H4" i="1" a="1"/>
  <c r="H4" i="1" s="1"/>
  <c r="I4" i="1" s="1"/>
  <c r="H6" i="1" a="1"/>
  <c r="H6" i="1" s="1"/>
  <c r="I6" i="1" s="1"/>
  <c r="H2" i="1" a="1"/>
  <c r="H2" i="1" s="1"/>
  <c r="I2" i="1" s="1"/>
  <c r="H5" i="1" a="1"/>
  <c r="H5" i="1" s="1"/>
  <c r="I5" i="1" s="1"/>
  <c r="H9" i="1" a="1"/>
  <c r="H9" i="1" s="1"/>
  <c r="I9" i="1" s="1"/>
  <c r="H8" i="1" a="1"/>
  <c r="H8" i="1" s="1"/>
  <c r="I8" i="1" s="1"/>
  <c r="H10" i="1" a="1"/>
  <c r="H10" i="1" s="1"/>
  <c r="I10" i="1" s="1"/>
  <c r="C4" i="4"/>
  <c r="C5" i="4"/>
  <c r="C6" i="4"/>
  <c r="C7" i="4"/>
  <c r="C8" i="4"/>
  <c r="C9" i="4"/>
  <c r="C10" i="4"/>
  <c r="C11" i="4"/>
  <c r="C12" i="4"/>
  <c r="C3" i="4"/>
  <c r="B4" i="4"/>
  <c r="B5" i="4"/>
  <c r="B6" i="4"/>
  <c r="B7" i="4"/>
  <c r="B8" i="4"/>
  <c r="B9" i="4"/>
  <c r="B10" i="4"/>
  <c r="B11" i="4"/>
  <c r="B12" i="4"/>
  <c r="B3" i="4"/>
  <c r="H21" i="1" a="1"/>
  <c r="H21" i="1" s="1"/>
  <c r="I21" i="1" s="1"/>
  <c r="H35" i="1" a="1"/>
  <c r="H35" i="1" s="1"/>
  <c r="I35" i="1" s="1"/>
  <c r="H30" i="1" a="1"/>
  <c r="H30" i="1" s="1"/>
  <c r="I30" i="1" s="1"/>
  <c r="H23" i="1" a="1"/>
  <c r="H23" i="1" s="1"/>
  <c r="I23" i="1" s="1"/>
  <c r="H20" i="1" a="1"/>
  <c r="H20" i="1" s="1"/>
  <c r="I20" i="1" s="1"/>
  <c r="H22" i="1" a="1"/>
  <c r="H22" i="1" s="1"/>
  <c r="I22" i="1" s="1"/>
  <c r="H12" i="1" a="1"/>
  <c r="H12" i="1" s="1"/>
  <c r="I12" i="1" s="1"/>
  <c r="H13" i="1" a="1"/>
  <c r="H13" i="1" s="1"/>
  <c r="I13" i="1" s="1"/>
  <c r="H14" i="1" a="1"/>
  <c r="H14" i="1" s="1"/>
  <c r="I14" i="1" s="1"/>
  <c r="I1"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<sst xmlns="http://schemas.openxmlformats.org/spreadsheetml/2006/main" count="540" uniqueCount="137">
  <si>
    <t>Epic</t>
  </si>
  <si>
    <t>User Story ID</t>
  </si>
  <si>
    <t>User Story (Short)</t>
  </si>
  <si>
    <t>Task</t>
  </si>
  <si>
    <t>Assigned To</t>
  </si>
  <si>
    <t>Status</t>
  </si>
  <si>
    <t>Blocker / Notes</t>
  </si>
  <si>
    <t>No</t>
  </si>
  <si>
    <t>Alekhya</t>
  </si>
  <si>
    <t>Daily Standup Checklist</t>
  </si>
  <si>
    <t>Is any task Blocked?</t>
  </si>
  <si>
    <t>Is any task In Progress for &gt;2 days?</t>
  </si>
  <si>
    <t>Is Sprint Goal still safe?</t>
  </si>
  <si>
    <t>Any dependency issues?</t>
  </si>
  <si>
    <t>Any help needed today?</t>
  </si>
  <si>
    <t>ToDo</t>
  </si>
  <si>
    <t>DoD Met?</t>
  </si>
  <si>
    <t>T-Shirt Sizing</t>
  </si>
  <si>
    <t>Story Point</t>
  </si>
  <si>
    <t>S</t>
  </si>
  <si>
    <t>M</t>
  </si>
  <si>
    <t>XL</t>
  </si>
  <si>
    <t>Sayan</t>
  </si>
  <si>
    <t>Anirban</t>
  </si>
  <si>
    <t>L</t>
  </si>
  <si>
    <t>XS</t>
  </si>
  <si>
    <t>Scope</t>
  </si>
  <si>
    <t>Test</t>
  </si>
  <si>
    <t>Atish</t>
  </si>
  <si>
    <t>Frontend Dev</t>
  </si>
  <si>
    <t>Days</t>
  </si>
  <si>
    <t>Actual Story Points Left</t>
  </si>
  <si>
    <t>Expected Story Points Left</t>
  </si>
  <si>
    <t>Story Points Done</t>
  </si>
  <si>
    <t>RenterE-BikeBookingFilter</t>
  </si>
  <si>
    <t>RenterE-BikeBookingBikeDetails</t>
  </si>
  <si>
    <t>Marketplace-Renting</t>
  </si>
  <si>
    <r>
      <t xml:space="preserve">1. Capture selected bike ID on click of </t>
    </r>
    <r>
      <rPr>
        <b/>
        <sz val="11"/>
        <color theme="1"/>
        <rFont val="Calibri"/>
        <family val="2"/>
        <scheme val="minor"/>
      </rPr>
      <t>Book This E-Bike</t>
    </r>
    <r>
      <rPr>
        <sz val="11"/>
        <color theme="1"/>
        <rFont val="Calibri"/>
        <family val="2"/>
        <scheme val="minor"/>
      </rPr>
      <t xml:space="preserve"> Button or </t>
    </r>
    <r>
      <rPr>
        <b/>
        <sz val="11"/>
        <color theme="1"/>
        <rFont val="Calibri"/>
        <family val="2"/>
        <scheme val="minor"/>
      </rPr>
      <t>cards</t>
    </r>
    <r>
      <rPr>
        <sz val="11"/>
        <color theme="1"/>
        <rFont val="Calibri"/>
        <family val="2"/>
        <scheme val="minor"/>
      </rPr>
      <t xml:space="preserve"> from the list
2. Navigate to </t>
    </r>
    <r>
      <rPr>
        <b/>
        <sz val="11"/>
        <color theme="1"/>
        <rFont val="Calibri"/>
        <family val="2"/>
        <scheme val="minor"/>
      </rPr>
      <t>RenterE-BikeBookingConfirmation</t>
    </r>
    <r>
      <rPr>
        <sz val="11"/>
        <color theme="1"/>
        <rFont val="Calibri"/>
        <family val="2"/>
        <scheme val="minor"/>
      </rPr>
      <t xml:space="preserve"> screen
3. Pass selected bike details via navigation params
4. Render selected bike details on </t>
    </r>
    <r>
      <rPr>
        <b/>
        <sz val="11"/>
        <color theme="1"/>
        <rFont val="Calibri"/>
        <family val="2"/>
        <scheme val="minor"/>
      </rPr>
      <t>RenterE-BikeBookingConfirmation</t>
    </r>
    <r>
      <rPr>
        <sz val="11"/>
        <color theme="1"/>
        <rFont val="Calibri"/>
        <family val="2"/>
        <scheme val="minor"/>
      </rPr>
      <t xml:space="preserve"> screen</t>
    </r>
  </si>
  <si>
    <r>
      <t xml:space="preserve">1. Design the cards for </t>
    </r>
    <r>
      <rPr>
        <b/>
        <sz val="11"/>
        <color theme="1"/>
        <rFont val="Calibri"/>
        <family val="2"/>
        <scheme val="minor"/>
      </rPr>
      <t>Similar E-Bikes</t>
    </r>
    <r>
      <rPr>
        <sz val="11"/>
        <color theme="1"/>
        <rFont val="Calibri"/>
        <family val="2"/>
        <scheme val="minor"/>
      </rPr>
      <t xml:space="preserve"> list of cards
2. Make the cards clickable
3. Render </t>
    </r>
    <r>
      <rPr>
        <b/>
        <sz val="11"/>
        <color theme="1"/>
        <rFont val="Calibri"/>
        <family val="2"/>
        <scheme val="minor"/>
      </rPr>
      <t>E-bike name</t>
    </r>
    <r>
      <rPr>
        <sz val="11"/>
        <color theme="1"/>
        <rFont val="Calibri"/>
        <family val="2"/>
        <scheme val="minor"/>
      </rPr>
      <t xml:space="preserve">, </t>
    </r>
    <r>
      <rPr>
        <b/>
        <sz val="11"/>
        <color theme="1"/>
        <rFont val="Calibri"/>
        <family val="2"/>
        <scheme val="minor"/>
      </rPr>
      <t>Circular</t>
    </r>
    <r>
      <rPr>
        <sz val="11"/>
        <color theme="1"/>
        <rFont val="Calibri"/>
        <family val="2"/>
        <scheme val="minor"/>
      </rPr>
      <t xml:space="preserve"> </t>
    </r>
    <r>
      <rPr>
        <b/>
        <sz val="11"/>
        <color theme="1"/>
        <rFont val="Calibri"/>
        <family val="2"/>
        <scheme val="minor"/>
      </rPr>
      <t xml:space="preserve">thumbnail </t>
    </r>
    <r>
      <rPr>
        <sz val="11"/>
        <color theme="1"/>
        <rFont val="Calibri"/>
        <family val="2"/>
        <scheme val="minor"/>
      </rPr>
      <t xml:space="preserve">of the E-Bike, </t>
    </r>
    <r>
      <rPr>
        <b/>
        <sz val="11"/>
        <color theme="1"/>
        <rFont val="Calibri"/>
        <family val="2"/>
        <scheme val="minor"/>
      </rPr>
      <t>rating</t>
    </r>
    <r>
      <rPr>
        <sz val="11"/>
        <color theme="1"/>
        <rFont val="Calibri"/>
        <family val="2"/>
        <scheme val="minor"/>
      </rPr>
      <t xml:space="preserve">, </t>
    </r>
    <r>
      <rPr>
        <b/>
        <sz val="11"/>
        <color theme="1"/>
        <rFont val="Calibri"/>
        <family val="2"/>
        <scheme val="minor"/>
      </rPr>
      <t>Date Range</t>
    </r>
    <r>
      <rPr>
        <sz val="11"/>
        <color theme="1"/>
        <rFont val="Calibri"/>
        <family val="2"/>
        <scheme val="minor"/>
      </rPr>
      <t xml:space="preserve">,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in the cards</t>
    </r>
  </si>
  <si>
    <r>
      <t xml:space="preserve">1. Create </t>
    </r>
    <r>
      <rPr>
        <b/>
        <sz val="11"/>
        <color theme="1"/>
        <rFont val="Calibri"/>
        <family val="2"/>
        <scheme val="minor"/>
      </rPr>
      <t>RenterE-BikeBooking-BikeDetails</t>
    </r>
    <r>
      <rPr>
        <sz val="11"/>
        <color theme="1"/>
        <rFont val="Calibri"/>
        <family val="2"/>
        <scheme val="minor"/>
      </rPr>
      <t xml:space="preserve"> screen component/layout:
2. Render an empty card for highlighting the cheapest e-bike
3.</t>
    </r>
    <r>
      <rPr>
        <b/>
        <sz val="11"/>
        <color theme="1"/>
        <rFont val="Calibri"/>
        <family val="2"/>
        <scheme val="minor"/>
      </rPr>
      <t xml:space="preserve"> 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placeholders under big card
4. Style </t>
    </r>
    <r>
      <rPr>
        <b/>
        <sz val="11"/>
        <color theme="1"/>
        <rFont val="Calibri"/>
        <family val="2"/>
        <scheme val="minor"/>
      </rPr>
      <t>Book This E-Bike</t>
    </r>
    <r>
      <rPr>
        <sz val="11"/>
        <color theme="1"/>
        <rFont val="Calibri"/>
        <family val="2"/>
        <scheme val="minor"/>
      </rPr>
      <t xml:space="preserve"> button as primary
5. Add Subheading: </t>
    </r>
    <r>
      <rPr>
        <b/>
        <sz val="11"/>
        <color theme="1"/>
        <rFont val="Calibri"/>
        <family val="2"/>
        <scheme val="minor"/>
      </rPr>
      <t xml:space="preserve">Similar E-Bikes </t>
    </r>
    <r>
      <rPr>
        <sz val="11"/>
        <color theme="1"/>
        <rFont val="Calibri"/>
        <family val="2"/>
        <scheme val="minor"/>
      </rPr>
      <t>under the button</t>
    </r>
  </si>
  <si>
    <r>
      <t xml:space="preserve">1. Render the cheapest E-Bike's 
- </t>
    </r>
    <r>
      <rPr>
        <b/>
        <sz val="11"/>
        <color theme="1"/>
        <rFont val="Calibri"/>
        <family val="2"/>
        <scheme val="minor"/>
      </rPr>
      <t>enlarged image</t>
    </r>
    <r>
      <rPr>
        <sz val="11"/>
        <color theme="1"/>
        <rFont val="Calibri"/>
        <family val="2"/>
        <scheme val="minor"/>
      </rPr>
      <t xml:space="preserve"> as the card's background image (occupying 100% of the card)
- </t>
    </r>
    <r>
      <rPr>
        <b/>
        <sz val="11"/>
        <color theme="1"/>
        <rFont val="Calibri"/>
        <family val="2"/>
        <scheme val="minor"/>
      </rPr>
      <t>name</t>
    </r>
    <r>
      <rPr>
        <sz val="11"/>
        <color theme="1"/>
        <rFont val="Calibri"/>
        <family val="2"/>
        <scheme val="minor"/>
      </rPr>
      <t xml:space="preserve">, </t>
    </r>
    <r>
      <rPr>
        <b/>
        <sz val="11"/>
        <color theme="1"/>
        <rFont val="Calibri"/>
        <family val="2"/>
        <scheme val="minor"/>
      </rPr>
      <t>rating</t>
    </r>
    <r>
      <rPr>
        <sz val="11"/>
        <color theme="1"/>
        <rFont val="Calibri"/>
        <family val="2"/>
        <scheme val="minor"/>
      </rPr>
      <t xml:space="preserve"> with (</t>
    </r>
    <r>
      <rPr>
        <b/>
        <sz val="11"/>
        <color theme="1"/>
        <rFont val="Calibri"/>
        <family val="2"/>
        <scheme val="minor"/>
      </rPr>
      <t>no. of ratings</t>
    </r>
    <r>
      <rPr>
        <sz val="11"/>
        <color theme="1"/>
        <rFont val="Calibri"/>
        <family val="2"/>
        <scheme val="minor"/>
      </rPr>
      <t xml:space="preserve">) in the lowest sub-section of the card with 85% opacity.
2.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of the cheapest e-bike under the card
3.</t>
    </r>
    <r>
      <rPr>
        <b/>
        <sz val="11"/>
        <color theme="1"/>
        <rFont val="Calibri"/>
        <family val="2"/>
        <scheme val="minor"/>
      </rPr>
      <t xml:space="preserve"> </t>
    </r>
    <r>
      <rPr>
        <sz val="11"/>
        <color theme="1"/>
        <rFont val="Calibri"/>
        <family val="2"/>
        <scheme val="minor"/>
      </rPr>
      <t xml:space="preserve">Wire </t>
    </r>
    <r>
      <rPr>
        <b/>
        <sz val="11"/>
        <color theme="1"/>
        <rFont val="Calibri"/>
        <family val="2"/>
        <scheme val="minor"/>
      </rPr>
      <t xml:space="preserve">Book This E-Bike </t>
    </r>
    <r>
      <rPr>
        <sz val="11"/>
        <color theme="1"/>
        <rFont val="Calibri"/>
        <family val="2"/>
        <scheme val="minor"/>
      </rPr>
      <t xml:space="preserve">button to the highlighted bike
</t>
    </r>
  </si>
  <si>
    <t>RenterE-BikeBookingConfirmation</t>
  </si>
  <si>
    <r>
      <t xml:space="preserve">1.  </t>
    </r>
    <r>
      <rPr>
        <b/>
        <u/>
        <sz val="11"/>
        <color theme="1"/>
        <rFont val="Calibri"/>
        <family val="2"/>
        <scheme val="minor"/>
      </rPr>
      <t>View Owner's Profile</t>
    </r>
    <r>
      <rPr>
        <sz val="11"/>
        <color theme="1"/>
        <rFont val="Calibri"/>
        <family val="2"/>
        <scheme val="minor"/>
      </rPr>
      <t xml:space="preserve"> onClick navigate to </t>
    </r>
    <r>
      <rPr>
        <b/>
        <sz val="11"/>
        <color theme="1"/>
        <rFont val="Calibri"/>
        <family val="2"/>
        <scheme val="minor"/>
      </rPr>
      <t>RenterE-BikeBooking-SelectedBike'sOwnerDetails s</t>
    </r>
    <r>
      <rPr>
        <sz val="11"/>
        <color theme="1"/>
        <rFont val="Calibri"/>
        <family val="2"/>
        <scheme val="minor"/>
      </rPr>
      <t xml:space="preserve">creen
2.  </t>
    </r>
    <r>
      <rPr>
        <u/>
        <sz val="11"/>
        <color theme="1"/>
        <rFont val="Calibri"/>
        <family val="2"/>
        <scheme val="minor"/>
      </rPr>
      <t>Learn More</t>
    </r>
    <r>
      <rPr>
        <sz val="11"/>
        <color theme="1"/>
        <rFont val="Calibri"/>
        <family val="2"/>
        <scheme val="minor"/>
      </rPr>
      <t xml:space="preserve"> and </t>
    </r>
    <r>
      <rPr>
        <u/>
        <sz val="11"/>
        <color theme="1"/>
        <rFont val="Calibri"/>
        <family val="2"/>
        <scheme val="minor"/>
      </rPr>
      <t>Insurance</t>
    </r>
    <r>
      <rPr>
        <sz val="11"/>
        <color theme="1"/>
        <rFont val="Calibri"/>
        <family val="2"/>
        <scheme val="minor"/>
      </rPr>
      <t xml:space="preserve"> hyperlink onClick navigate to </t>
    </r>
    <r>
      <rPr>
        <b/>
        <sz val="11"/>
        <color theme="1"/>
        <rFont val="Calibri"/>
        <family val="2"/>
        <scheme val="minor"/>
      </rPr>
      <t>RenterE-BikeBookingInsuranceDetails</t>
    </r>
    <r>
      <rPr>
        <sz val="11"/>
        <color theme="1"/>
        <rFont val="Calibri"/>
        <family val="2"/>
        <scheme val="minor"/>
      </rPr>
      <t xml:space="preserve"> screen
3. Disable onClick of </t>
    </r>
    <r>
      <rPr>
        <b/>
        <sz val="11"/>
        <color theme="1"/>
        <rFont val="Calibri"/>
        <family val="2"/>
        <scheme val="minor"/>
      </rPr>
      <t>Book</t>
    </r>
    <r>
      <rPr>
        <sz val="11"/>
        <color theme="1"/>
        <rFont val="Calibri"/>
        <family val="2"/>
        <scheme val="minor"/>
      </rPr>
      <t xml:space="preserve"> button until checkbox is not checked
4. If checked, onClick </t>
    </r>
    <r>
      <rPr>
        <b/>
        <sz val="11"/>
        <color theme="1"/>
        <rFont val="Calibri"/>
        <family val="2"/>
        <scheme val="minor"/>
      </rPr>
      <t>Book</t>
    </r>
    <r>
      <rPr>
        <sz val="11"/>
        <color theme="1"/>
        <rFont val="Calibri"/>
        <family val="2"/>
        <scheme val="minor"/>
      </rPr>
      <t xml:space="preserve"> button navigate to </t>
    </r>
    <r>
      <rPr>
        <b/>
        <sz val="11"/>
        <color theme="1"/>
        <rFont val="Calibri"/>
        <family val="2"/>
        <scheme val="minor"/>
      </rPr>
      <t xml:space="preserve">RenterBookedE-BikesList </t>
    </r>
    <r>
      <rPr>
        <sz val="11"/>
        <color theme="1"/>
        <rFont val="Calibri"/>
        <family val="2"/>
        <scheme val="minor"/>
      </rPr>
      <t>screen</t>
    </r>
  </si>
  <si>
    <t>RenterE-BikeBooking-SelectedBike'sOwnerDetails</t>
  </si>
  <si>
    <t>RenterE-BikeBookingInsuranceDetails</t>
  </si>
  <si>
    <r>
      <t xml:space="preserve">In </t>
    </r>
    <r>
      <rPr>
        <b/>
        <sz val="11"/>
        <color theme="1"/>
        <rFont val="Calibri"/>
        <family val="2"/>
        <scheme val="minor"/>
      </rPr>
      <t>RenterE-BikeBookingFilter</t>
    </r>
    <r>
      <rPr>
        <sz val="11"/>
        <color theme="1"/>
        <rFont val="Calibri"/>
        <family val="2"/>
        <scheme val="minor"/>
      </rPr>
      <t xml:space="preserve"> screen component/layout, create:
1. Heading: "</t>
    </r>
    <r>
      <rPr>
        <b/>
        <sz val="11"/>
        <color theme="1"/>
        <rFont val="Calibri"/>
        <family val="2"/>
        <scheme val="minor"/>
      </rPr>
      <t>Welcome username</t>
    </r>
    <r>
      <rPr>
        <sz val="11"/>
        <color theme="1"/>
        <rFont val="Calibri"/>
        <family val="2"/>
        <scheme val="minor"/>
      </rPr>
      <t>"
2. Subheading: "B</t>
    </r>
    <r>
      <rPr>
        <b/>
        <sz val="11"/>
        <color theme="1"/>
        <rFont val="Calibri"/>
        <family val="2"/>
        <scheme val="minor"/>
      </rPr>
      <t>ook an E-Bike</t>
    </r>
    <r>
      <rPr>
        <sz val="11"/>
        <color theme="1"/>
        <rFont val="Calibri"/>
        <family val="2"/>
        <scheme val="minor"/>
      </rPr>
      <t xml:space="preserve">"
3. Implement </t>
    </r>
    <r>
      <rPr>
        <b/>
        <sz val="11"/>
        <color theme="1"/>
        <rFont val="Calibri"/>
        <family val="2"/>
        <scheme val="minor"/>
      </rPr>
      <t>From</t>
    </r>
    <r>
      <rPr>
        <sz val="11"/>
        <color theme="1"/>
        <rFont val="Calibri"/>
        <family val="2"/>
        <scheme val="minor"/>
      </rPr>
      <t xml:space="preserve"> Date picker with validation (cannot select past dates) &amp; </t>
    </r>
    <r>
      <rPr>
        <b/>
        <sz val="11"/>
        <color theme="1"/>
        <rFont val="Calibri"/>
        <family val="2"/>
        <scheme val="minor"/>
      </rPr>
      <t>To</t>
    </r>
    <r>
      <rPr>
        <sz val="11"/>
        <color theme="1"/>
        <rFont val="Calibri"/>
        <family val="2"/>
        <scheme val="minor"/>
      </rPr>
      <t xml:space="preserve"> Date picker with validation (&gt;= </t>
    </r>
    <r>
      <rPr>
        <b/>
        <sz val="11"/>
        <color theme="1"/>
        <rFont val="Calibri"/>
        <family val="2"/>
        <scheme val="minor"/>
      </rPr>
      <t>From</t>
    </r>
    <r>
      <rPr>
        <sz val="11"/>
        <color theme="1"/>
        <rFont val="Calibri"/>
        <family val="2"/>
        <scheme val="minor"/>
      </rPr>
      <t xml:space="preserve"> Date).
4. Implement </t>
    </r>
    <r>
      <rPr>
        <b/>
        <sz val="11"/>
        <color theme="1"/>
        <rFont val="Calibri"/>
        <family val="2"/>
        <scheme val="minor"/>
      </rPr>
      <t>Price Range</t>
    </r>
    <r>
      <rPr>
        <sz val="11"/>
        <color theme="1"/>
        <rFont val="Calibri"/>
        <family val="2"/>
        <scheme val="minor"/>
      </rPr>
      <t xml:space="preserve"> slider (per week) with min/max labels.
5. </t>
    </r>
    <r>
      <rPr>
        <b/>
        <sz val="11"/>
        <color theme="1"/>
        <rFont val="Calibri"/>
        <family val="2"/>
        <scheme val="minor"/>
      </rPr>
      <t>Category</t>
    </r>
    <r>
      <rPr>
        <sz val="11"/>
        <color theme="1"/>
        <rFont val="Calibri"/>
        <family val="2"/>
        <scheme val="minor"/>
      </rPr>
      <t xml:space="preserve"> box with dropdown for bike types (enum)
6. </t>
    </r>
    <r>
      <rPr>
        <b/>
        <sz val="11"/>
        <color theme="1"/>
        <rFont val="Calibri"/>
        <family val="2"/>
        <scheme val="minor"/>
      </rPr>
      <t>Pickup Location</t>
    </r>
    <r>
      <rPr>
        <sz val="11"/>
        <color theme="1"/>
        <rFont val="Calibri"/>
        <family val="2"/>
        <scheme val="minor"/>
      </rPr>
      <t xml:space="preserve"> - Location Picker
7. Persist filter state locally while navigating.
8. Style </t>
    </r>
    <r>
      <rPr>
        <b/>
        <sz val="11"/>
        <color theme="1"/>
        <rFont val="Calibri"/>
        <family val="2"/>
        <scheme val="minor"/>
      </rPr>
      <t>Continue</t>
    </r>
    <r>
      <rPr>
        <sz val="11"/>
        <color theme="1"/>
        <rFont val="Calibri"/>
        <family val="2"/>
        <scheme val="minor"/>
      </rPr>
      <t xml:space="preserve"> button as primary
9. Style </t>
    </r>
    <r>
      <rPr>
        <b/>
        <sz val="11"/>
        <color theme="1"/>
        <rFont val="Calibri"/>
        <family val="2"/>
        <scheme val="minor"/>
      </rPr>
      <t>Visit My Bookings</t>
    </r>
    <r>
      <rPr>
        <sz val="11"/>
        <color theme="1"/>
        <rFont val="Calibri"/>
        <family val="2"/>
        <scheme val="minor"/>
      </rPr>
      <t xml:space="preserve"> button as secondary
10. Navigate from </t>
    </r>
    <r>
      <rPr>
        <b/>
        <sz val="11"/>
        <color theme="1"/>
        <rFont val="Calibri"/>
        <family val="2"/>
        <scheme val="minor"/>
      </rPr>
      <t>RenterE-BikeBookingFilter</t>
    </r>
    <r>
      <rPr>
        <sz val="11"/>
        <color theme="1"/>
        <rFont val="Calibri"/>
        <family val="2"/>
        <scheme val="minor"/>
      </rPr>
      <t xml:space="preserve"> → </t>
    </r>
    <r>
      <rPr>
        <b/>
        <sz val="11"/>
        <color theme="1"/>
        <rFont val="Calibri"/>
        <family val="2"/>
        <scheme val="minor"/>
      </rPr>
      <t>RenterE-BikeBooking-BikeDetails</t>
    </r>
    <r>
      <rPr>
        <sz val="11"/>
        <color theme="1"/>
        <rFont val="Calibri"/>
        <family val="2"/>
        <scheme val="minor"/>
      </rPr>
      <t xml:space="preserve"> on </t>
    </r>
    <r>
      <rPr>
        <b/>
        <sz val="11"/>
        <color theme="1"/>
        <rFont val="Calibri"/>
        <family val="2"/>
        <scheme val="minor"/>
      </rPr>
      <t>Continue</t>
    </r>
    <r>
      <rPr>
        <sz val="11"/>
        <color theme="1"/>
        <rFont val="Calibri"/>
        <family val="2"/>
        <scheme val="minor"/>
      </rPr>
      <t xml:space="preserve"> button press
11. Navigate from </t>
    </r>
    <r>
      <rPr>
        <b/>
        <sz val="11"/>
        <color theme="1"/>
        <rFont val="Calibri"/>
        <family val="2"/>
        <scheme val="minor"/>
      </rPr>
      <t>RenterE-BikeBookingFilter</t>
    </r>
    <r>
      <rPr>
        <sz val="11"/>
        <color theme="1"/>
        <rFont val="Calibri"/>
        <family val="2"/>
        <scheme val="minor"/>
      </rPr>
      <t xml:space="preserve"> → </t>
    </r>
    <r>
      <rPr>
        <b/>
        <sz val="11"/>
        <color theme="1"/>
        <rFont val="Calibri"/>
        <family val="2"/>
        <scheme val="minor"/>
      </rPr>
      <t>RenterBookedBikesList</t>
    </r>
    <r>
      <rPr>
        <sz val="11"/>
        <color theme="1"/>
        <rFont val="Calibri"/>
        <family val="2"/>
        <scheme val="minor"/>
      </rPr>
      <t xml:space="preserve"> on </t>
    </r>
    <r>
      <rPr>
        <b/>
        <sz val="11"/>
        <color theme="1"/>
        <rFont val="Calibri"/>
        <family val="2"/>
        <scheme val="minor"/>
      </rPr>
      <t>Visit My Bookings</t>
    </r>
    <r>
      <rPr>
        <sz val="11"/>
        <color theme="1"/>
        <rFont val="Calibri"/>
        <family val="2"/>
        <scheme val="minor"/>
      </rPr>
      <t xml:space="preserve"> button press</t>
    </r>
  </si>
  <si>
    <r>
      <t xml:space="preserve">1. Accept filter values (dates, price, category, location) from </t>
    </r>
    <r>
      <rPr>
        <b/>
        <sz val="11"/>
        <color theme="1"/>
        <rFont val="Calibri"/>
        <family val="2"/>
        <scheme val="minor"/>
      </rPr>
      <t>RenterE-BikeBookingFilter</t>
    </r>
    <r>
      <rPr>
        <sz val="11"/>
        <color theme="1"/>
        <rFont val="Calibri"/>
        <family val="2"/>
        <scheme val="minor"/>
      </rPr>
      <t xml:space="preserve"> screen
2. Fetch / mock list of available e-bikes
3. Apply filters to e-bike dataset
4. Sort matching bikes in ascending order of weekly price
5. Identify cheapest bike from filtered results
6. If no results, show message: “</t>
    </r>
    <r>
      <rPr>
        <b/>
        <sz val="11"/>
        <color rgb="FFFF0000"/>
        <rFont val="Calibri"/>
        <family val="2"/>
        <scheme val="minor"/>
      </rPr>
      <t>No E-Bikes found! Consider increasing your budget.</t>
    </r>
    <r>
      <rPr>
        <sz val="11"/>
        <color theme="1"/>
        <rFont val="Calibri"/>
        <family val="2"/>
        <scheme val="minor"/>
      </rPr>
      <t>”</t>
    </r>
  </si>
  <si>
    <r>
      <t xml:space="preserve">Create </t>
    </r>
    <r>
      <rPr>
        <b/>
        <sz val="11"/>
        <color theme="1"/>
        <rFont val="Calibri"/>
        <family val="2"/>
        <scheme val="minor"/>
      </rPr>
      <t>RenterE-BikeBooking-SelectedBike'sOwnerDetails</t>
    </r>
    <r>
      <rPr>
        <sz val="11"/>
        <color theme="1"/>
        <rFont val="Calibri"/>
        <family val="2"/>
        <scheme val="minor"/>
      </rPr>
      <t xml:space="preserve"> screen component/layout:
</t>
    </r>
    <r>
      <rPr>
        <sz val="11"/>
        <color rgb="FFFF0000"/>
        <rFont val="Calibri"/>
        <family val="2"/>
        <scheme val="minor"/>
      </rPr>
      <t xml:space="preserve">1. Fetch and render the selected E-Bike's  owner's name as heading
2. Render owner's image as avatar
3. Render a text field for the user to type something </t>
    </r>
    <r>
      <rPr>
        <b/>
        <sz val="11"/>
        <color rgb="FFFF0000"/>
        <rFont val="Calibri"/>
        <family val="2"/>
        <scheme val="minor"/>
      </rPr>
      <t>&lt;=200</t>
    </r>
    <r>
      <rPr>
        <sz val="11"/>
        <color rgb="FFFF0000"/>
        <rFont val="Calibri"/>
        <family val="2"/>
        <scheme val="minor"/>
      </rPr>
      <t xml:space="preserve"> characters
4. Render </t>
    </r>
    <r>
      <rPr>
        <b/>
        <sz val="11"/>
        <color rgb="FFFF0000"/>
        <rFont val="Calibri"/>
        <family val="2"/>
        <scheme val="minor"/>
      </rPr>
      <t xml:space="preserve">Bikes Listed: </t>
    </r>
    <r>
      <rPr>
        <sz val="11"/>
        <color rgb="FFFF0000"/>
        <rFont val="Calibri"/>
        <family val="2"/>
        <scheme val="minor"/>
      </rPr>
      <t xml:space="preserve">section that displays the number of bikes listed by owner
5. Rating and no. of ratings
6. </t>
    </r>
    <r>
      <rPr>
        <u/>
        <sz val="11"/>
        <color rgb="FFFF0000"/>
        <rFont val="Calibri"/>
        <family val="2"/>
        <scheme val="minor"/>
      </rPr>
      <t>Community Activities</t>
    </r>
    <r>
      <rPr>
        <sz val="11"/>
        <color rgb="FFFF0000"/>
        <rFont val="Calibri"/>
        <family val="2"/>
        <scheme val="minor"/>
      </rPr>
      <t xml:space="preserve"> hyperlink navigates to the owner's community </t>
    </r>
    <r>
      <rPr>
        <sz val="11"/>
        <rFont val="Calibri"/>
        <family val="2"/>
        <scheme val="minor"/>
      </rPr>
      <t xml:space="preserve">activities
7. Render an </t>
    </r>
    <r>
      <rPr>
        <b/>
        <sz val="11"/>
        <rFont val="Calibri"/>
        <family val="2"/>
        <scheme val="minor"/>
      </rPr>
      <t>Ok</t>
    </r>
    <r>
      <rPr>
        <sz val="11"/>
        <rFont val="Calibri"/>
        <family val="2"/>
        <scheme val="minor"/>
      </rPr>
      <t xml:space="preserve"> primary button that navigates back to </t>
    </r>
    <r>
      <rPr>
        <b/>
        <sz val="11"/>
        <rFont val="Calibri"/>
        <family val="2"/>
        <scheme val="minor"/>
      </rPr>
      <t>RenterE-BikeBookingConfirmation</t>
    </r>
    <r>
      <rPr>
        <sz val="11"/>
        <rFont val="Calibri"/>
        <family val="2"/>
        <scheme val="minor"/>
      </rPr>
      <t xml:space="preserve"> screen</t>
    </r>
    <r>
      <rPr>
        <b/>
        <sz val="11"/>
        <color theme="1"/>
        <rFont val="Calibri"/>
        <family val="2"/>
        <scheme val="minor"/>
      </rPr>
      <t xml:space="preserve">
TO BE JUST AN EMPTY SCREEN WITH THE Ok BUTTON UNTIL FINALIZED</t>
    </r>
  </si>
  <si>
    <r>
      <t xml:space="preserve">Create </t>
    </r>
    <r>
      <rPr>
        <b/>
        <sz val="11"/>
        <color theme="1"/>
        <rFont val="Calibri"/>
        <family val="2"/>
        <scheme val="minor"/>
      </rPr>
      <t>RenterE-BikeBookingInsuranceDetails</t>
    </r>
    <r>
      <rPr>
        <sz val="11"/>
        <color theme="1"/>
        <rFont val="Calibri"/>
        <family val="2"/>
        <scheme val="minor"/>
      </rPr>
      <t xml:space="preserve"> screen component/layout:
</t>
    </r>
    <r>
      <rPr>
        <sz val="11"/>
        <rFont val="Calibri"/>
        <family val="2"/>
        <scheme val="minor"/>
      </rPr>
      <t xml:space="preserve">1. Render </t>
    </r>
    <r>
      <rPr>
        <b/>
        <sz val="11"/>
        <rFont val="Calibri"/>
        <family val="2"/>
        <scheme val="minor"/>
      </rPr>
      <t>Insurance Details</t>
    </r>
    <r>
      <rPr>
        <sz val="11"/>
        <rFont val="Calibri"/>
        <family val="2"/>
        <scheme val="minor"/>
      </rPr>
      <t xml:space="preserve"> as heading
2. Render the whole insurance document inside a scrollable iist component.
3. Render an </t>
    </r>
    <r>
      <rPr>
        <b/>
        <sz val="11"/>
        <rFont val="Calibri"/>
        <family val="2"/>
        <scheme val="minor"/>
      </rPr>
      <t>Ok</t>
    </r>
    <r>
      <rPr>
        <sz val="11"/>
        <rFont val="Calibri"/>
        <family val="2"/>
        <scheme val="minor"/>
      </rPr>
      <t xml:space="preserve"> primary button that navigates back to </t>
    </r>
    <r>
      <rPr>
        <b/>
        <sz val="11"/>
        <rFont val="Calibri"/>
        <family val="2"/>
        <scheme val="minor"/>
      </rPr>
      <t>RenterE-BikeBookingConfirmation</t>
    </r>
    <r>
      <rPr>
        <sz val="11"/>
        <rFont val="Calibri"/>
        <family val="2"/>
        <scheme val="minor"/>
      </rPr>
      <t xml:space="preserve"> screen</t>
    </r>
  </si>
  <si>
    <t>Backend Dev</t>
  </si>
  <si>
    <r>
      <t xml:space="preserve">Create </t>
    </r>
    <r>
      <rPr>
        <b/>
        <sz val="11"/>
        <color theme="1"/>
        <rFont val="Calibri"/>
        <family val="2"/>
        <scheme val="minor"/>
      </rPr>
      <t>GET /api/users/{ownerId}/public-profile</t>
    </r>
    <r>
      <rPr>
        <sz val="11"/>
        <color theme="1"/>
        <rFont val="Calibri"/>
        <family val="2"/>
        <scheme val="minor"/>
      </rPr>
      <t xml:space="preserve"> Endpoint
1. Logic: Query user table for public fields only.
2. Output: </t>
    </r>
    <r>
      <rPr>
        <b/>
        <sz val="11"/>
        <color theme="1"/>
        <rFont val="Calibri"/>
        <family val="2"/>
        <scheme val="minor"/>
      </rPr>
      <t>name</t>
    </r>
    <r>
      <rPr>
        <sz val="11"/>
        <color theme="1"/>
        <rFont val="Calibri"/>
        <family val="2"/>
        <scheme val="minor"/>
      </rPr>
      <t xml:space="preserve">, </t>
    </r>
    <r>
      <rPr>
        <b/>
        <sz val="11"/>
        <color theme="1"/>
        <rFont val="Calibri"/>
        <family val="2"/>
        <scheme val="minor"/>
      </rPr>
      <t>avatarUrl</t>
    </r>
    <r>
      <rPr>
        <sz val="11"/>
        <color theme="1"/>
        <rFont val="Calibri"/>
        <family val="2"/>
        <scheme val="minor"/>
      </rPr>
      <t xml:space="preserve">, </t>
    </r>
    <r>
      <rPr>
        <b/>
        <sz val="11"/>
        <color theme="1"/>
        <rFont val="Calibri"/>
        <family val="2"/>
        <scheme val="minor"/>
      </rPr>
      <t>bio</t>
    </r>
    <r>
      <rPr>
        <sz val="11"/>
        <color theme="1"/>
        <rFont val="Calibri"/>
        <family val="2"/>
        <scheme val="minor"/>
      </rPr>
      <t xml:space="preserve">, </t>
    </r>
    <r>
      <rPr>
        <b/>
        <sz val="11"/>
        <color theme="1"/>
        <rFont val="Calibri"/>
        <family val="2"/>
        <scheme val="minor"/>
      </rPr>
      <t>bikesListedCount</t>
    </r>
    <r>
      <rPr>
        <sz val="11"/>
        <color theme="1"/>
        <rFont val="Calibri"/>
        <family val="2"/>
        <scheme val="minor"/>
      </rPr>
      <t xml:space="preserve"> (aggregate query), </t>
    </r>
    <r>
      <rPr>
        <b/>
        <sz val="11"/>
        <color theme="1"/>
        <rFont val="Calibri"/>
        <family val="2"/>
        <scheme val="minor"/>
      </rPr>
      <t>rating</t>
    </r>
    <r>
      <rPr>
        <sz val="11"/>
        <color theme="1"/>
        <rFont val="Calibri"/>
        <family val="2"/>
        <scheme val="minor"/>
      </rPr>
      <t xml:space="preserve">, </t>
    </r>
    <r>
      <rPr>
        <b/>
        <sz val="11"/>
        <color theme="1"/>
        <rFont val="Calibri"/>
        <family val="2"/>
        <scheme val="minor"/>
      </rPr>
      <t>communityProfileUrl</t>
    </r>
    <r>
      <rPr>
        <sz val="11"/>
        <color theme="1"/>
        <rFont val="Calibri"/>
        <family val="2"/>
        <scheme val="minor"/>
      </rPr>
      <t>.</t>
    </r>
  </si>
  <si>
    <r>
      <t xml:space="preserve">Create </t>
    </r>
    <r>
      <rPr>
        <b/>
        <sz val="11"/>
        <color theme="1"/>
        <rFont val="Calibri"/>
        <family val="2"/>
        <scheme val="minor"/>
      </rPr>
      <t>GET /api/content/insurance-policy</t>
    </r>
    <r>
      <rPr>
        <sz val="11"/>
        <color theme="1"/>
        <rFont val="Calibri"/>
        <family val="2"/>
        <scheme val="minor"/>
      </rPr>
      <t xml:space="preserve"> Endpoint:
1. Logic: Fetch the current active insurance policy text/HTML from a CMS or config file (allows updating policy without app store releases).</t>
    </r>
  </si>
  <si>
    <r>
      <t>Create</t>
    </r>
    <r>
      <rPr>
        <b/>
        <sz val="11"/>
        <color theme="1"/>
        <rFont val="Calibri"/>
        <family val="2"/>
        <scheme val="minor"/>
      </rPr>
      <t xml:space="preserve"> GET /api/bikes/search</t>
    </r>
    <r>
      <rPr>
        <sz val="11"/>
        <color theme="1"/>
        <rFont val="Calibri"/>
        <family val="2"/>
        <scheme val="minor"/>
      </rPr>
      <t xml:space="preserve"> Endpoint
1. Input (Query Params): </t>
    </r>
    <r>
      <rPr>
        <b/>
        <sz val="11"/>
        <color theme="1"/>
        <rFont val="Calibri"/>
        <family val="2"/>
        <scheme val="minor"/>
      </rPr>
      <t>startDate</t>
    </r>
    <r>
      <rPr>
        <sz val="11"/>
        <color theme="1"/>
        <rFont val="Calibri"/>
        <family val="2"/>
        <scheme val="minor"/>
      </rPr>
      <t xml:space="preserve">, </t>
    </r>
    <r>
      <rPr>
        <b/>
        <sz val="11"/>
        <color theme="1"/>
        <rFont val="Calibri"/>
        <family val="2"/>
        <scheme val="minor"/>
      </rPr>
      <t>endDate</t>
    </r>
    <r>
      <rPr>
        <sz val="11"/>
        <color theme="1"/>
        <rFont val="Calibri"/>
        <family val="2"/>
        <scheme val="minor"/>
      </rPr>
      <t xml:space="preserve">, </t>
    </r>
    <r>
      <rPr>
        <b/>
        <sz val="11"/>
        <color theme="1"/>
        <rFont val="Calibri"/>
        <family val="2"/>
        <scheme val="minor"/>
      </rPr>
      <t>minPrice</t>
    </r>
    <r>
      <rPr>
        <sz val="11"/>
        <color theme="1"/>
        <rFont val="Calibri"/>
        <family val="2"/>
        <scheme val="minor"/>
      </rPr>
      <t xml:space="preserve">, </t>
    </r>
    <r>
      <rPr>
        <b/>
        <sz val="11"/>
        <color theme="1"/>
        <rFont val="Calibri"/>
        <family val="2"/>
        <scheme val="minor"/>
      </rPr>
      <t>maxPrice</t>
    </r>
    <r>
      <rPr>
        <sz val="11"/>
        <color theme="1"/>
        <rFont val="Calibri"/>
        <family val="2"/>
        <scheme val="minor"/>
      </rPr>
      <t xml:space="preserve">, </t>
    </r>
    <r>
      <rPr>
        <b/>
        <sz val="11"/>
        <color theme="1"/>
        <rFont val="Calibri"/>
        <family val="2"/>
        <scheme val="minor"/>
      </rPr>
      <t>category</t>
    </r>
    <r>
      <rPr>
        <sz val="11"/>
        <color theme="1"/>
        <rFont val="Calibri"/>
        <family val="2"/>
        <scheme val="minor"/>
      </rPr>
      <t xml:space="preserve"> (e-bike type), </t>
    </r>
    <r>
      <rPr>
        <b/>
        <sz val="11"/>
        <color theme="1"/>
        <rFont val="Calibri"/>
        <family val="2"/>
        <scheme val="minor"/>
      </rPr>
      <t>location</t>
    </r>
    <r>
      <rPr>
        <sz val="11"/>
        <color theme="1"/>
        <rFont val="Calibri"/>
        <family val="2"/>
        <scheme val="minor"/>
      </rPr>
      <t xml:space="preserve"> (lat/long or cityId).
2. Logic:
- Filter bikes by availability (exclude bikes booked during startDate to endDate).
- Filter by price range and category.
- Sorting: Implement strict SQL sorting: ORDER BY price ASC.
3. Output: List of Bike objects (thumbnail, name, price, rating).</t>
    </r>
  </si>
  <si>
    <r>
      <t xml:space="preserve">Create </t>
    </r>
    <r>
      <rPr>
        <b/>
        <sz val="11"/>
        <color theme="1"/>
        <rFont val="Calibri"/>
        <family val="2"/>
        <scheme val="minor"/>
      </rPr>
      <t>GET /api/bikes/{id} Endpoint</t>
    </r>
    <r>
      <rPr>
        <sz val="11"/>
        <color theme="1"/>
        <rFont val="Calibri"/>
        <family val="2"/>
        <scheme val="minor"/>
      </rPr>
      <t xml:space="preserve">
1. Logic: Fetch full details for a specific bike.
2. Output: Detailed JSON including specifications, full image URLs, and nested owner summary object.</t>
    </r>
  </si>
  <si>
    <r>
      <t xml:space="preserve">Render e-bikes filtered by the date entered in list of clickable cards with E-bike </t>
    </r>
    <r>
      <rPr>
        <b/>
        <sz val="11"/>
        <color theme="1"/>
        <rFont val="Calibri"/>
        <family val="2"/>
        <scheme val="minor"/>
      </rPr>
      <t>name</t>
    </r>
    <r>
      <rPr>
        <sz val="11"/>
        <color theme="1"/>
        <rFont val="Calibri"/>
        <family val="2"/>
        <scheme val="minor"/>
      </rPr>
      <t xml:space="preserve">, </t>
    </r>
    <r>
      <rPr>
        <b/>
        <sz val="11"/>
        <color theme="1"/>
        <rFont val="Calibri"/>
        <family val="2"/>
        <scheme val="minor"/>
      </rPr>
      <t>Circular thumbnail</t>
    </r>
    <r>
      <rPr>
        <sz val="11"/>
        <color theme="1"/>
        <rFont val="Calibri"/>
        <family val="2"/>
        <scheme val="minor"/>
      </rPr>
      <t xml:space="preserve"> of the E-Bike, </t>
    </r>
    <r>
      <rPr>
        <b/>
        <sz val="11"/>
        <color theme="1"/>
        <rFont val="Calibri"/>
        <family val="2"/>
        <scheme val="minor"/>
      </rPr>
      <t>rating</t>
    </r>
    <r>
      <rPr>
        <sz val="11"/>
        <color theme="1"/>
        <rFont val="Calibri"/>
        <family val="2"/>
        <scheme val="minor"/>
      </rPr>
      <t xml:space="preserve">, </t>
    </r>
    <r>
      <rPr>
        <b/>
        <sz val="11"/>
        <color theme="1"/>
        <rFont val="Calibri"/>
        <family val="2"/>
        <scheme val="minor"/>
      </rPr>
      <t>Date Range</t>
    </r>
    <r>
      <rPr>
        <sz val="11"/>
        <color theme="1"/>
        <rFont val="Calibri"/>
        <family val="2"/>
        <scheme val="minor"/>
      </rPr>
      <t xml:space="preserve">, </t>
    </r>
    <r>
      <rPr>
        <b/>
        <sz val="11"/>
        <color theme="1"/>
        <rFont val="Calibri"/>
        <family val="2"/>
        <scheme val="minor"/>
      </rPr>
      <t>Price</t>
    </r>
    <r>
      <rPr>
        <sz val="11"/>
        <color theme="1"/>
        <rFont val="Calibri"/>
        <family val="2"/>
        <scheme val="minor"/>
      </rPr>
      <t xml:space="preserve">, E-bike </t>
    </r>
    <r>
      <rPr>
        <b/>
        <sz val="11"/>
        <color theme="1"/>
        <rFont val="Calibri"/>
        <family val="2"/>
        <scheme val="minor"/>
      </rPr>
      <t>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in the cards</t>
    </r>
  </si>
  <si>
    <t>Render "You do not have an active booking for these dates!" instead of the list of scrollable cards, if no results found</t>
  </si>
  <si>
    <r>
      <t xml:space="preserve">Create </t>
    </r>
    <r>
      <rPr>
        <b/>
        <sz val="11"/>
        <rFont val="Calibri"/>
        <family val="2"/>
        <scheme val="minor"/>
      </rPr>
      <t>GET /api/bookings/my-bookings</t>
    </r>
    <r>
      <rPr>
        <sz val="11"/>
        <rFont val="Calibri"/>
        <family val="2"/>
        <scheme val="minor"/>
      </rPr>
      <t xml:space="preserve"> Endpoint
1. Logic: Fetch all bookings for the authenticated renter.
2. Sorting: Sort by </t>
    </r>
    <r>
      <rPr>
        <b/>
        <sz val="11"/>
        <rFont val="Calibri"/>
        <family val="2"/>
        <scheme val="minor"/>
      </rPr>
      <t>startDate</t>
    </r>
    <r>
      <rPr>
        <sz val="11"/>
        <rFont val="Calibri"/>
        <family val="2"/>
        <scheme val="minor"/>
      </rPr>
      <t xml:space="preserve"> descending (newest/upcoming first).
3. Output: List of bookings with attached Bike metadata.</t>
    </r>
  </si>
  <si>
    <t>RenterBookedBikesList</t>
  </si>
  <si>
    <r>
      <t xml:space="preserve">Navigate to </t>
    </r>
    <r>
      <rPr>
        <b/>
        <sz val="11"/>
        <rFont val="Calibri"/>
        <family val="2"/>
        <scheme val="minor"/>
      </rPr>
      <t>RenterBookedE-BikeOptions</t>
    </r>
    <r>
      <rPr>
        <sz val="11"/>
        <rFont val="Calibri"/>
        <family val="2"/>
        <scheme val="minor"/>
      </rPr>
      <t xml:space="preserve"> screen onPress of listed cards, showing the details of respective e-bike</t>
    </r>
  </si>
  <si>
    <t>RenterBookedE-BikeOptions</t>
  </si>
  <si>
    <t>RenterBookedE-BikeCancellationOption</t>
  </si>
  <si>
    <r>
      <t xml:space="preserve">Create </t>
    </r>
    <r>
      <rPr>
        <b/>
        <sz val="11"/>
        <color theme="1"/>
        <rFont val="Calibri"/>
        <family val="2"/>
        <scheme val="minor"/>
      </rPr>
      <t>RenterBookedE-BikeCancellationOption</t>
    </r>
    <r>
      <rPr>
        <sz val="11"/>
        <color theme="1"/>
        <rFont val="Calibri"/>
        <family val="2"/>
        <scheme val="minor"/>
      </rPr>
      <t xml:space="preserve"> screen layout:
1. Render the booked E-Bike's 
- enlarged image as the card's background image (occupying 100% of the card)
- name, rating with (no. of ratings) in the lowest sub-section of the card with 85% opacity.
2. Render </t>
    </r>
    <r>
      <rPr>
        <b/>
        <sz val="11"/>
        <color theme="1"/>
        <rFont val="Calibri"/>
        <family val="2"/>
        <scheme val="minor"/>
      </rPr>
      <t>Price</t>
    </r>
    <r>
      <rPr>
        <sz val="11"/>
        <color theme="1"/>
        <rFont val="Calibri"/>
        <family val="2"/>
        <scheme val="minor"/>
      </rPr>
      <t xml:space="preserve">, </t>
    </r>
    <r>
      <rPr>
        <b/>
        <sz val="11"/>
        <color theme="1"/>
        <rFont val="Calibri"/>
        <family val="2"/>
        <scheme val="minor"/>
      </rPr>
      <t>Cancellation Charge</t>
    </r>
    <r>
      <rPr>
        <sz val="11"/>
        <color theme="1"/>
        <rFont val="Calibri"/>
        <family val="2"/>
        <scheme val="minor"/>
      </rPr>
      <t xml:space="preserve"> and </t>
    </r>
    <r>
      <rPr>
        <b/>
        <sz val="11"/>
        <color theme="1"/>
        <rFont val="Calibri"/>
        <family val="2"/>
        <scheme val="minor"/>
      </rPr>
      <t>Return Amount</t>
    </r>
    <r>
      <rPr>
        <sz val="11"/>
        <color theme="1"/>
        <rFont val="Calibri"/>
        <family val="2"/>
        <scheme val="minor"/>
      </rPr>
      <t xml:space="preserve"> (price - cancellation charge)
3. Cancellation policy in a scrollable content with a </t>
    </r>
    <r>
      <rPr>
        <b/>
        <sz val="11"/>
        <color theme="1"/>
        <rFont val="Calibri"/>
        <family val="2"/>
        <scheme val="minor"/>
      </rPr>
      <t xml:space="preserve">Read more </t>
    </r>
    <r>
      <rPr>
        <sz val="11"/>
        <color theme="1"/>
        <rFont val="Calibri"/>
        <family val="2"/>
        <scheme val="minor"/>
      </rPr>
      <t xml:space="preserve">hyperlink
4. </t>
    </r>
    <r>
      <rPr>
        <b/>
        <sz val="11"/>
        <color theme="1"/>
        <rFont val="Calibri"/>
        <family val="2"/>
        <scheme val="minor"/>
      </rPr>
      <t>Confirm</t>
    </r>
    <r>
      <rPr>
        <sz val="11"/>
        <color theme="1"/>
        <rFont val="Calibri"/>
        <family val="2"/>
        <scheme val="minor"/>
      </rPr>
      <t xml:space="preserve"> secondary button
5. </t>
    </r>
    <r>
      <rPr>
        <b/>
        <sz val="11"/>
        <color theme="1"/>
        <rFont val="Calibri"/>
        <family val="2"/>
        <scheme val="minor"/>
      </rPr>
      <t xml:space="preserve">Do Not Cancel, Go Back </t>
    </r>
    <r>
      <rPr>
        <sz val="11"/>
        <color theme="1"/>
        <rFont val="Calibri"/>
        <family val="2"/>
        <scheme val="minor"/>
      </rPr>
      <t>primary button</t>
    </r>
  </si>
  <si>
    <r>
      <t xml:space="preserve">1. </t>
    </r>
    <r>
      <rPr>
        <b/>
        <sz val="11"/>
        <color theme="1"/>
        <rFont val="Calibri"/>
        <family val="2"/>
        <scheme val="minor"/>
      </rPr>
      <t xml:space="preserve">Confirm </t>
    </r>
    <r>
      <rPr>
        <sz val="11"/>
        <color theme="1"/>
        <rFont val="Calibri"/>
        <family val="2"/>
        <scheme val="minor"/>
      </rPr>
      <t>button onPress initiates cancellation (no function for now, (</t>
    </r>
    <r>
      <rPr>
        <b/>
        <sz val="11"/>
        <color theme="1"/>
        <rFont val="Calibri"/>
        <family val="2"/>
        <scheme val="minor"/>
      </rPr>
      <t>alert("Cancellation Confirmed")</t>
    </r>
    <r>
      <rPr>
        <sz val="11"/>
        <color theme="1"/>
        <rFont val="Calibri"/>
        <family val="2"/>
        <scheme val="minor"/>
      </rPr>
      <t xml:space="preserve">)
2. </t>
    </r>
    <r>
      <rPr>
        <b/>
        <sz val="11"/>
        <color theme="1"/>
        <rFont val="Calibri"/>
        <family val="2"/>
        <scheme val="minor"/>
      </rPr>
      <t>Do Not Cancel, Go Back</t>
    </r>
    <r>
      <rPr>
        <sz val="11"/>
        <color theme="1"/>
        <rFont val="Calibri"/>
        <family val="2"/>
        <scheme val="minor"/>
      </rPr>
      <t xml:space="preserve"> button onPress navigates back to </t>
    </r>
    <r>
      <rPr>
        <b/>
        <sz val="11"/>
        <color theme="1"/>
        <rFont val="Calibri"/>
        <family val="2"/>
        <scheme val="minor"/>
      </rPr>
      <t>RenterBookedE-BikeOptions</t>
    </r>
    <r>
      <rPr>
        <sz val="11"/>
        <color theme="1"/>
        <rFont val="Calibri"/>
        <family val="2"/>
        <scheme val="minor"/>
      </rPr>
      <t xml:space="preserve"> screen</t>
    </r>
  </si>
  <si>
    <r>
      <t xml:space="preserve">Create </t>
    </r>
    <r>
      <rPr>
        <b/>
        <sz val="11"/>
        <color theme="1"/>
        <rFont val="Calibri"/>
        <family val="2"/>
        <scheme val="minor"/>
      </rPr>
      <t>GET /api/bookings/{id}/cancellation-quote</t>
    </r>
    <r>
      <rPr>
        <sz val="11"/>
        <color theme="1"/>
        <rFont val="Calibri"/>
        <family val="2"/>
        <scheme val="minor"/>
      </rPr>
      <t xml:space="preserve"> Endpoint:
1. Logic: Calculate refund based on policy:
- If &gt;24h before: 100% refund.
- If &lt;24h before: X% penalty.
- If Mid-ride (User Story 3.13): Calculate pro-rated usage + penalty.
2. Output: </t>
    </r>
    <r>
      <rPr>
        <b/>
        <sz val="11"/>
        <color theme="1"/>
        <rFont val="Calibri"/>
        <family val="2"/>
        <scheme val="minor"/>
      </rPr>
      <t>refundAmount</t>
    </r>
    <r>
      <rPr>
        <sz val="11"/>
        <color theme="1"/>
        <rFont val="Calibri"/>
        <family val="2"/>
        <scheme val="minor"/>
      </rPr>
      <t xml:space="preserve">, </t>
    </r>
    <r>
      <rPr>
        <b/>
        <sz val="11"/>
        <color theme="1"/>
        <rFont val="Calibri"/>
        <family val="2"/>
        <scheme val="minor"/>
      </rPr>
      <t>cancellationFee</t>
    </r>
    <r>
      <rPr>
        <sz val="11"/>
        <color theme="1"/>
        <rFont val="Calibri"/>
        <family val="2"/>
        <scheme val="minor"/>
      </rPr>
      <t xml:space="preserve">, </t>
    </r>
    <r>
      <rPr>
        <b/>
        <sz val="11"/>
        <color theme="1"/>
        <rFont val="Calibri"/>
        <family val="2"/>
        <scheme val="minor"/>
      </rPr>
      <t>totalPaid</t>
    </r>
    <r>
      <rPr>
        <sz val="11"/>
        <color theme="1"/>
        <rFont val="Calibri"/>
        <family val="2"/>
        <scheme val="minor"/>
      </rPr>
      <t>.</t>
    </r>
  </si>
  <si>
    <r>
      <t xml:space="preserve">Create </t>
    </r>
    <r>
      <rPr>
        <b/>
        <sz val="11"/>
        <color theme="1"/>
        <rFont val="Calibri"/>
        <family val="2"/>
        <scheme val="minor"/>
      </rPr>
      <t>POST /api/bookings/{id}/cancel</t>
    </r>
    <r>
      <rPr>
        <sz val="11"/>
        <color theme="1"/>
        <rFont val="Calibri"/>
        <family val="2"/>
        <scheme val="minor"/>
      </rPr>
      <t xml:space="preserve"> Endpoint
1. Input: reason (optional).
2. Logic: Update status to </t>
    </r>
    <r>
      <rPr>
        <b/>
        <sz val="11"/>
        <color theme="1"/>
        <rFont val="Calibri"/>
        <family val="2"/>
        <scheme val="minor"/>
      </rPr>
      <t>CANCELLED</t>
    </r>
    <r>
      <rPr>
        <sz val="11"/>
        <color theme="1"/>
        <rFont val="Calibri"/>
        <family val="2"/>
        <scheme val="minor"/>
      </rPr>
      <t>, trigger Refund Service.</t>
    </r>
  </si>
  <si>
    <t>3.10</t>
  </si>
  <si>
    <r>
      <t xml:space="preserve">Create </t>
    </r>
    <r>
      <rPr>
        <b/>
        <sz val="11"/>
        <color theme="1"/>
        <rFont val="Calibri"/>
        <family val="2"/>
        <scheme val="minor"/>
      </rPr>
      <t>RenterE-BikeCurrentBookingClaimInsurance</t>
    </r>
    <r>
      <rPr>
        <sz val="11"/>
        <color theme="1"/>
        <rFont val="Calibri"/>
        <family val="2"/>
        <scheme val="minor"/>
      </rPr>
      <t xml:space="preserve"> screen layout:
1. Add heading: </t>
    </r>
    <r>
      <rPr>
        <b/>
        <sz val="11"/>
        <color theme="1"/>
        <rFont val="Calibri"/>
        <family val="2"/>
        <scheme val="minor"/>
      </rPr>
      <t xml:space="preserve">Claim Insurance
</t>
    </r>
    <r>
      <rPr>
        <sz val="11"/>
        <color theme="1"/>
        <rFont val="Calibri"/>
        <family val="2"/>
        <scheme val="minor"/>
      </rPr>
      <t xml:space="preserve">2. Render </t>
    </r>
    <r>
      <rPr>
        <b/>
        <sz val="11"/>
        <color theme="1"/>
        <rFont val="Calibri"/>
        <family val="2"/>
        <scheme val="minor"/>
      </rPr>
      <t>Claim Details</t>
    </r>
    <r>
      <rPr>
        <sz val="11"/>
        <color theme="1"/>
        <rFont val="Calibri"/>
        <family val="2"/>
        <scheme val="minor"/>
      </rPr>
      <t xml:space="preserve"> as a scrollable content…</t>
    </r>
    <r>
      <rPr>
        <b/>
        <u/>
        <sz val="11"/>
        <color theme="1"/>
        <rFont val="Calibri"/>
        <family val="2"/>
        <scheme val="minor"/>
      </rPr>
      <t>Read more</t>
    </r>
    <r>
      <rPr>
        <sz val="11"/>
        <color theme="1"/>
        <rFont val="Calibri"/>
        <family val="2"/>
        <scheme val="minor"/>
      </rPr>
      <t xml:space="preserve"> hyperlink
3. Add </t>
    </r>
    <r>
      <rPr>
        <b/>
        <sz val="11"/>
        <color theme="1"/>
        <rFont val="Calibri"/>
        <family val="2"/>
        <scheme val="minor"/>
      </rPr>
      <t xml:space="preserve">Initiate Claim </t>
    </r>
    <r>
      <rPr>
        <sz val="11"/>
        <color theme="1"/>
        <rFont val="Calibri"/>
        <family val="2"/>
        <scheme val="minor"/>
      </rPr>
      <t>primary button</t>
    </r>
  </si>
  <si>
    <t>RenterBookedE-BikeFeaturestoCheck</t>
  </si>
  <si>
    <t>RenterBookedE-BikeRaiseIssue</t>
  </si>
  <si>
    <t>RenterE-BikeCurrentBooking</t>
  </si>
  <si>
    <t>RenterE-BikeCurrentBookingReportIncident</t>
  </si>
  <si>
    <t>RenterE-BikeCurrentBookingClaimInsurance</t>
  </si>
  <si>
    <t>RenterE-BikeReturn</t>
  </si>
  <si>
    <r>
      <t xml:space="preserve">On </t>
    </r>
    <r>
      <rPr>
        <b/>
        <sz val="11"/>
        <color theme="1"/>
        <rFont val="Calibri"/>
        <family val="2"/>
        <scheme val="minor"/>
      </rPr>
      <t>RenterE-BikeCurrentBooking</t>
    </r>
    <r>
      <rPr>
        <sz val="11"/>
        <color theme="1"/>
        <rFont val="Calibri"/>
        <family val="2"/>
        <scheme val="minor"/>
      </rPr>
      <t xml:space="preserve"> screen:
1. onPress of </t>
    </r>
    <r>
      <rPr>
        <b/>
        <u/>
        <sz val="11"/>
        <color theme="1"/>
        <rFont val="Calibri"/>
        <family val="2"/>
        <scheme val="minor"/>
      </rPr>
      <t>Report an Incident</t>
    </r>
    <r>
      <rPr>
        <sz val="11"/>
        <color theme="1"/>
        <rFont val="Calibri"/>
        <family val="2"/>
        <scheme val="minor"/>
      </rPr>
      <t xml:space="preserve"> hyperlink navigates to </t>
    </r>
    <r>
      <rPr>
        <b/>
        <sz val="11"/>
        <color theme="1"/>
        <rFont val="Calibri"/>
        <family val="2"/>
        <scheme val="minor"/>
      </rPr>
      <t>RenterE-BikeCurrentBookingReportIncident</t>
    </r>
    <r>
      <rPr>
        <sz val="11"/>
        <color theme="1"/>
        <rFont val="Calibri"/>
        <family val="2"/>
        <scheme val="minor"/>
      </rPr>
      <t xml:space="preserve"> screen
2. onPress of </t>
    </r>
    <r>
      <rPr>
        <b/>
        <u/>
        <sz val="11"/>
        <color theme="1"/>
        <rFont val="Calibri"/>
        <family val="2"/>
        <scheme val="minor"/>
      </rPr>
      <t>Insurance Details</t>
    </r>
    <r>
      <rPr>
        <sz val="11"/>
        <color theme="1"/>
        <rFont val="Calibri"/>
        <family val="2"/>
        <scheme val="minor"/>
      </rPr>
      <t xml:space="preserve"> hyperlink navigates to </t>
    </r>
    <r>
      <rPr>
        <b/>
        <sz val="11"/>
        <color theme="1"/>
        <rFont val="Calibri"/>
        <family val="2"/>
        <scheme val="minor"/>
      </rPr>
      <t>RenterE-BikeCurrentBookingClaimInsurance</t>
    </r>
    <r>
      <rPr>
        <sz val="11"/>
        <color theme="1"/>
        <rFont val="Calibri"/>
        <family val="2"/>
        <scheme val="minor"/>
      </rPr>
      <t xml:space="preserve"> screen</t>
    </r>
  </si>
  <si>
    <t>RenterE-BikeReturn (PREMATURE)</t>
  </si>
  <si>
    <r>
      <t xml:space="preserve">On </t>
    </r>
    <r>
      <rPr>
        <b/>
        <sz val="11"/>
        <color theme="1"/>
        <rFont val="Calibri"/>
        <family val="2"/>
        <scheme val="minor"/>
      </rPr>
      <t>RenterE-BikeCurrentBooking</t>
    </r>
    <r>
      <rPr>
        <sz val="11"/>
        <color theme="1"/>
        <rFont val="Calibri"/>
        <family val="2"/>
        <scheme val="minor"/>
      </rPr>
      <t xml:space="preserve"> screen:
1. onPress of </t>
    </r>
    <r>
      <rPr>
        <b/>
        <sz val="11"/>
        <color theme="1"/>
        <rFont val="Calibri"/>
        <family val="2"/>
        <scheme val="minor"/>
      </rPr>
      <t>Return E-Bike</t>
    </r>
    <r>
      <rPr>
        <sz val="11"/>
        <color theme="1"/>
        <rFont val="Calibri"/>
        <family val="2"/>
        <scheme val="minor"/>
      </rPr>
      <t xml:space="preserve"> primary button navigates to </t>
    </r>
    <r>
      <rPr>
        <b/>
        <sz val="11"/>
        <color theme="1"/>
        <rFont val="Calibri"/>
        <family val="2"/>
        <scheme val="minor"/>
      </rPr>
      <t>RenterE-BikeReturn</t>
    </r>
    <r>
      <rPr>
        <sz val="11"/>
        <color theme="1"/>
        <rFont val="Calibri"/>
        <family val="2"/>
        <scheme val="minor"/>
      </rPr>
      <t xml:space="preserve"> screen, if currentDate == bookingEndDate
2. if currentDate !== bookingEndDate, onPress of </t>
    </r>
    <r>
      <rPr>
        <b/>
        <sz val="11"/>
        <color theme="1"/>
        <rFont val="Calibri"/>
        <family val="2"/>
        <scheme val="minor"/>
      </rPr>
      <t>Return E-Bike</t>
    </r>
    <r>
      <rPr>
        <sz val="11"/>
        <color theme="1"/>
        <rFont val="Calibri"/>
        <family val="2"/>
        <scheme val="minor"/>
      </rPr>
      <t xml:space="preserve"> primary button renders a modal on the same screen</t>
    </r>
  </si>
  <si>
    <r>
      <t xml:space="preserve">Create </t>
    </r>
    <r>
      <rPr>
        <b/>
        <sz val="11"/>
        <color theme="1"/>
        <rFont val="Calibri"/>
        <family val="2"/>
        <scheme val="minor"/>
      </rPr>
      <t>POST /api/bookings/{id}/start-ride</t>
    </r>
    <r>
      <rPr>
        <sz val="11"/>
        <color theme="1"/>
        <rFont val="Calibri"/>
        <family val="2"/>
        <scheme val="minor"/>
      </rPr>
      <t xml:space="preserve"> Endpoint
1. Logic: Validate booking is today. Update status from </t>
    </r>
    <r>
      <rPr>
        <b/>
        <sz val="11"/>
        <color theme="1"/>
        <rFont val="Calibri"/>
        <family val="2"/>
        <scheme val="minor"/>
      </rPr>
      <t xml:space="preserve">CONFIRMED </t>
    </r>
    <r>
      <rPr>
        <sz val="11"/>
        <color theme="1"/>
        <rFont val="Calibri"/>
        <family val="2"/>
        <scheme val="minor"/>
      </rPr>
      <t xml:space="preserve">to </t>
    </r>
    <r>
      <rPr>
        <b/>
        <sz val="11"/>
        <color theme="1"/>
        <rFont val="Calibri"/>
        <family val="2"/>
        <scheme val="minor"/>
      </rPr>
      <t>ACTIVE</t>
    </r>
    <r>
      <rPr>
        <sz val="11"/>
        <color theme="1"/>
        <rFont val="Calibri"/>
        <family val="2"/>
        <scheme val="minor"/>
      </rPr>
      <t>.
- Trigger the "Ride Timer" or timestamp for insurance coverage start.</t>
    </r>
  </si>
  <si>
    <r>
      <t xml:space="preserve">Create </t>
    </r>
    <r>
      <rPr>
        <b/>
        <sz val="11"/>
        <color theme="1"/>
        <rFont val="Calibri"/>
        <family val="2"/>
        <scheme val="minor"/>
      </rPr>
      <t>POST /api/bookings/{id}/issues</t>
    </r>
    <r>
      <rPr>
        <sz val="11"/>
        <color theme="1"/>
        <rFont val="Calibri"/>
        <family val="2"/>
        <scheme val="minor"/>
      </rPr>
      <t xml:space="preserve"> Endpoint (PRE-RIDE)
1. Type: Multipart/Form-Data (Image + Text).
2. Input: </t>
    </r>
    <r>
      <rPr>
        <b/>
        <sz val="11"/>
        <color theme="1"/>
        <rFont val="Calibri"/>
        <family val="2"/>
        <scheme val="minor"/>
      </rPr>
      <t>description</t>
    </r>
    <r>
      <rPr>
        <sz val="11"/>
        <color theme="1"/>
        <rFont val="Calibri"/>
        <family val="2"/>
        <scheme val="minor"/>
      </rPr>
      <t xml:space="preserve">, </t>
    </r>
    <r>
      <rPr>
        <b/>
        <sz val="11"/>
        <color theme="1"/>
        <rFont val="Calibri"/>
        <family val="2"/>
        <scheme val="minor"/>
      </rPr>
      <t>imageFile</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(Pre-ride vs Mid-ride).
3. Logic: Upload image to storage (S3/Cloudinary), save URL, create </t>
    </r>
    <r>
      <rPr>
        <b/>
        <sz val="11"/>
        <color theme="1"/>
        <rFont val="Calibri"/>
        <family val="2"/>
        <scheme val="minor"/>
      </rPr>
      <t>Issue</t>
    </r>
    <r>
      <rPr>
        <sz val="11"/>
        <color theme="1"/>
        <rFont val="Calibri"/>
        <family val="2"/>
        <scheme val="minor"/>
      </rPr>
      <t xml:space="preserve"> record linked to booking.
4. Mark booking as </t>
    </r>
    <r>
      <rPr>
        <b/>
        <sz val="11"/>
        <color theme="1"/>
        <rFont val="Calibri"/>
        <family val="2"/>
        <scheme val="minor"/>
      </rPr>
      <t>CANCELLED_WITH_ISSUE</t>
    </r>
    <r>
      <rPr>
        <sz val="11"/>
        <color theme="1"/>
        <rFont val="Calibri"/>
        <family val="2"/>
        <scheme val="minor"/>
      </rPr>
      <t>.
Trigger refund (full refund since it's an issue, not a user cancellation).</t>
    </r>
  </si>
  <si>
    <r>
      <t xml:space="preserve">Create </t>
    </r>
    <r>
      <rPr>
        <b/>
        <sz val="11"/>
        <rFont val="Calibri"/>
        <family val="2"/>
        <scheme val="minor"/>
      </rPr>
      <t>POST /api/bookings</t>
    </r>
    <r>
      <rPr>
        <sz val="11"/>
        <rFont val="Calibri"/>
        <family val="2"/>
        <scheme val="minor"/>
      </rPr>
      <t xml:space="preserve"> Endpoint
1. Input: </t>
    </r>
    <r>
      <rPr>
        <b/>
        <sz val="11"/>
        <rFont val="Calibri"/>
        <family val="2"/>
        <scheme val="minor"/>
      </rPr>
      <t>bikeId</t>
    </r>
    <r>
      <rPr>
        <sz val="11"/>
        <rFont val="Calibri"/>
        <family val="2"/>
        <scheme val="minor"/>
      </rPr>
      <t xml:space="preserve">, </t>
    </r>
    <r>
      <rPr>
        <b/>
        <sz val="11"/>
        <rFont val="Calibri"/>
        <family val="2"/>
        <scheme val="minor"/>
      </rPr>
      <t>renterId</t>
    </r>
    <r>
      <rPr>
        <sz val="11"/>
        <rFont val="Calibri"/>
        <family val="2"/>
        <scheme val="minor"/>
      </rPr>
      <t xml:space="preserve">, </t>
    </r>
    <r>
      <rPr>
        <b/>
        <sz val="11"/>
        <rFont val="Calibri"/>
        <family val="2"/>
        <scheme val="minor"/>
      </rPr>
      <t>startDate</t>
    </r>
    <r>
      <rPr>
        <sz val="11"/>
        <rFont val="Calibri"/>
        <family val="2"/>
        <scheme val="minor"/>
      </rPr>
      <t xml:space="preserve">, </t>
    </r>
    <r>
      <rPr>
        <b/>
        <sz val="11"/>
        <rFont val="Calibri"/>
        <family val="2"/>
        <scheme val="minor"/>
      </rPr>
      <t>endDate</t>
    </r>
    <r>
      <rPr>
        <sz val="11"/>
        <rFont val="Calibri"/>
        <family val="2"/>
        <scheme val="minor"/>
      </rPr>
      <t xml:space="preserve">, </t>
    </r>
    <r>
      <rPr>
        <b/>
        <sz val="11"/>
        <rFont val="Calibri"/>
        <family val="2"/>
        <scheme val="minor"/>
      </rPr>
      <t>insuranceAccepted</t>
    </r>
    <r>
      <rPr>
        <sz val="11"/>
        <rFont val="Calibri"/>
        <family val="2"/>
        <scheme val="minor"/>
      </rPr>
      <t xml:space="preserve"> (boolean).
2. Logic:
- Race Condition Check: Verify bike is still available for dates (lock row).
- Validation: Ensure insuranceAccepted is true.
- Transaction: Create Booking record with status </t>
    </r>
    <r>
      <rPr>
        <b/>
        <sz val="11"/>
        <rFont val="Calibri"/>
        <family val="2"/>
        <scheme val="minor"/>
      </rPr>
      <t>CONFIRMED</t>
    </r>
    <r>
      <rPr>
        <sz val="11"/>
        <rFont val="Calibri"/>
        <family val="2"/>
        <scheme val="minor"/>
      </rPr>
      <t xml:space="preserve">.
3.Output: </t>
    </r>
    <r>
      <rPr>
        <b/>
        <sz val="11"/>
        <rFont val="Calibri"/>
        <family val="2"/>
        <scheme val="minor"/>
      </rPr>
      <t>bookingId</t>
    </r>
    <r>
      <rPr>
        <sz val="11"/>
        <rFont val="Calibri"/>
        <family val="2"/>
        <scheme val="minor"/>
      </rPr>
      <t xml:space="preserve">, </t>
    </r>
    <r>
      <rPr>
        <b/>
        <sz val="11"/>
        <rFont val="Calibri"/>
        <family val="2"/>
        <scheme val="minor"/>
      </rPr>
      <t>status</t>
    </r>
    <r>
      <rPr>
        <sz val="11"/>
        <rFont val="Calibri"/>
        <family val="2"/>
        <scheme val="minor"/>
      </rPr>
      <t>.</t>
    </r>
  </si>
  <si>
    <r>
      <t>Create</t>
    </r>
    <r>
      <rPr>
        <b/>
        <sz val="11"/>
        <color theme="1"/>
        <rFont val="Calibri"/>
        <family val="2"/>
        <scheme val="minor"/>
      </rPr>
      <t xml:space="preserve"> POST /api/incidents</t>
    </r>
    <r>
      <rPr>
        <sz val="11"/>
        <color theme="1"/>
        <rFont val="Calibri"/>
        <family val="2"/>
        <scheme val="minor"/>
      </rPr>
      <t xml:space="preserve"> Endpoint (MID-RIDE)
1. Type: Multipart/Form-Data.
2. Logic: High-priority alert. Store incident report, trigger email/SMS to Support Team/admin.
- Link to active </t>
    </r>
    <r>
      <rPr>
        <b/>
        <sz val="11"/>
        <color theme="1"/>
        <rFont val="Calibri"/>
        <family val="2"/>
        <scheme val="minor"/>
      </rPr>
      <t>bookingId</t>
    </r>
  </si>
  <si>
    <r>
      <t xml:space="preserve">1. </t>
    </r>
    <r>
      <rPr>
        <b/>
        <sz val="11"/>
        <color theme="1"/>
        <rFont val="Calibri"/>
        <family val="2"/>
        <scheme val="minor"/>
      </rPr>
      <t>GET /api/bikes/search</t>
    </r>
    <r>
      <rPr>
        <sz val="11"/>
        <color theme="1"/>
        <rFont val="Calibri"/>
        <family val="2"/>
        <scheme val="minor"/>
      </rPr>
      <t xml:space="preserve">: Verify payload (startDate, endDate, minPrice, maxPrice) returns correct status 200 and filtered list.
2. </t>
    </r>
    <r>
      <rPr>
        <b/>
        <sz val="11"/>
        <color theme="1"/>
        <rFont val="Calibri"/>
        <family val="2"/>
        <scheme val="minor"/>
      </rPr>
      <t>GET /api/bikes/{id}</t>
    </r>
    <r>
      <rPr>
        <sz val="11"/>
        <color theme="1"/>
        <rFont val="Calibri"/>
        <family val="2"/>
        <scheme val="minor"/>
      </rPr>
      <t>: Verify response includes full specs and nested owner summary.</t>
    </r>
  </si>
  <si>
    <t>Backend Test</t>
  </si>
  <si>
    <t>Frontend Test</t>
  </si>
  <si>
    <r>
      <t xml:space="preserve">1. </t>
    </r>
    <r>
      <rPr>
        <b/>
        <sz val="11"/>
        <color theme="1"/>
        <rFont val="Calibri"/>
        <family val="2"/>
        <scheme val="minor"/>
      </rPr>
      <t>GET /api/users/{ownerId}/public-profile</t>
    </r>
    <r>
      <rPr>
        <sz val="11"/>
        <color theme="1"/>
        <rFont val="Calibri"/>
        <family val="2"/>
        <scheme val="minor"/>
      </rPr>
      <t xml:space="preserve">: Ensure sensitive data (email, phone) is NOT returned in the response.
2. </t>
    </r>
    <r>
      <rPr>
        <b/>
        <sz val="11"/>
        <color theme="1"/>
        <rFont val="Calibri"/>
        <family val="2"/>
        <scheme val="minor"/>
      </rPr>
      <t>GET /api/content/insurance-policy</t>
    </r>
    <r>
      <rPr>
        <sz val="11"/>
        <color theme="1"/>
        <rFont val="Calibri"/>
        <family val="2"/>
        <scheme val="minor"/>
      </rPr>
      <t>: Verify text/HTML is fetched from CMS/config (mock).</t>
    </r>
  </si>
  <si>
    <r>
      <t xml:space="preserve">If the Purchase mandatory insurance checkbox is checked, pressing Book button navigates to </t>
    </r>
    <r>
      <rPr>
        <b/>
        <sz val="11"/>
        <color theme="1"/>
        <rFont val="Calibri"/>
        <family val="2"/>
        <scheme val="minor"/>
      </rPr>
      <t>RenterBookedBikesList</t>
    </r>
    <r>
      <rPr>
        <sz val="11"/>
        <color theme="1"/>
        <rFont val="Calibri"/>
        <family val="2"/>
        <scheme val="minor"/>
      </rPr>
      <t xml:space="preserve"> screen. If not, alert: "Purchase the insurance to continue."</t>
    </r>
  </si>
  <si>
    <r>
      <t xml:space="preserve">1. </t>
    </r>
    <r>
      <rPr>
        <b/>
        <sz val="11"/>
        <rFont val="Calibri"/>
        <family val="2"/>
        <scheme val="minor"/>
      </rPr>
      <t>POST /api/bookings</t>
    </r>
    <r>
      <rPr>
        <sz val="11"/>
        <rFont val="Calibri"/>
        <family val="2"/>
        <scheme val="minor"/>
      </rPr>
      <t xml:space="preserve">: Verify race condition handling (attempt to book the same bike for same dates simultaneously from two clients).
2. </t>
    </r>
    <r>
      <rPr>
        <b/>
        <sz val="11"/>
        <rFont val="Calibri"/>
        <family val="2"/>
        <scheme val="minor"/>
      </rPr>
      <t>POST /api/bookings</t>
    </r>
    <r>
      <rPr>
        <sz val="11"/>
        <rFont val="Calibri"/>
        <family val="2"/>
        <scheme val="minor"/>
      </rPr>
      <t xml:space="preserve">: Verify validation fails if insuranceAccepted is false.
3. </t>
    </r>
    <r>
      <rPr>
        <b/>
        <sz val="11"/>
        <rFont val="Calibri"/>
        <family val="2"/>
        <scheme val="minor"/>
      </rPr>
      <t>GET /api/bookings/my-bookings</t>
    </r>
    <r>
      <rPr>
        <sz val="11"/>
        <rFont val="Calibri"/>
        <family val="2"/>
        <scheme val="minor"/>
      </rPr>
      <t>: Verify list is sorted by startDate descending (newest first).</t>
    </r>
  </si>
  <si>
    <r>
      <t xml:space="preserve">Create </t>
    </r>
    <r>
      <rPr>
        <b/>
        <sz val="11"/>
        <color theme="1"/>
        <rFont val="Calibri"/>
        <family val="2"/>
        <scheme val="minor"/>
      </rPr>
      <t>RenterBookedBikesList</t>
    </r>
    <r>
      <rPr>
        <sz val="11"/>
        <color theme="1"/>
        <rFont val="Calibri"/>
        <family val="2"/>
        <scheme val="minor"/>
      </rPr>
      <t xml:space="preserve"> screen layout:
1. Render heading: "</t>
    </r>
    <r>
      <rPr>
        <b/>
        <sz val="11"/>
        <color theme="1"/>
        <rFont val="Calibri"/>
        <family val="2"/>
        <scheme val="minor"/>
      </rPr>
      <t>Welcome Username</t>
    </r>
    <r>
      <rPr>
        <sz val="11"/>
        <color theme="1"/>
        <rFont val="Calibri"/>
        <family val="2"/>
        <scheme val="minor"/>
      </rPr>
      <t>"
2. Render sub-heading: "</t>
    </r>
    <r>
      <rPr>
        <b/>
        <sz val="11"/>
        <color theme="1"/>
        <rFont val="Calibri"/>
        <family val="2"/>
        <scheme val="minor"/>
      </rPr>
      <t>Your Bookings</t>
    </r>
    <r>
      <rPr>
        <sz val="11"/>
        <color theme="1"/>
        <rFont val="Calibri"/>
        <family val="2"/>
        <scheme val="minor"/>
      </rPr>
      <t xml:space="preserve">"
3. Implement </t>
    </r>
    <r>
      <rPr>
        <b/>
        <sz val="11"/>
        <color theme="1"/>
        <rFont val="Calibri"/>
        <family val="2"/>
        <scheme val="minor"/>
      </rPr>
      <t>From</t>
    </r>
    <r>
      <rPr>
        <sz val="11"/>
        <color theme="1"/>
        <rFont val="Calibri"/>
        <family val="2"/>
        <scheme val="minor"/>
      </rPr>
      <t xml:space="preserve"> Date picker with validation (cannot select past dates) &amp; </t>
    </r>
    <r>
      <rPr>
        <b/>
        <sz val="11"/>
        <color theme="1"/>
        <rFont val="Calibri"/>
        <family val="2"/>
        <scheme val="minor"/>
      </rPr>
      <t>To</t>
    </r>
    <r>
      <rPr>
        <sz val="11"/>
        <color theme="1"/>
        <rFont val="Calibri"/>
        <family val="2"/>
        <scheme val="minor"/>
      </rPr>
      <t xml:space="preserve"> Date picker with validation (&gt;= From Date).
4. Render the user's e-bikes in a list of clickable cards
5. Render </t>
    </r>
    <r>
      <rPr>
        <b/>
        <sz val="11"/>
        <color theme="1"/>
        <rFont val="Calibri"/>
        <family val="2"/>
        <scheme val="minor"/>
      </rPr>
      <t>Book an E-Bike</t>
    </r>
    <r>
      <rPr>
        <sz val="11"/>
        <color theme="1"/>
        <rFont val="Calibri"/>
        <family val="2"/>
        <scheme val="minor"/>
      </rPr>
      <t xml:space="preserve"> primary button
6. Navigate to </t>
    </r>
    <r>
      <rPr>
        <b/>
        <sz val="11"/>
        <color theme="1"/>
        <rFont val="Calibri"/>
        <family val="2"/>
        <scheme val="minor"/>
      </rPr>
      <t>RenterE-BikeBookingFilter</t>
    </r>
    <r>
      <rPr>
        <sz val="11"/>
        <color theme="1"/>
        <rFont val="Calibri"/>
        <family val="2"/>
        <scheme val="minor"/>
      </rPr>
      <t xml:space="preserve"> screen onPress of </t>
    </r>
    <r>
      <rPr>
        <b/>
        <sz val="11"/>
        <color theme="1"/>
        <rFont val="Calibri"/>
        <family val="2"/>
        <scheme val="minor"/>
      </rPr>
      <t>Book an E-Bike</t>
    </r>
    <r>
      <rPr>
        <sz val="11"/>
        <color theme="1"/>
        <rFont val="Calibri"/>
        <family val="2"/>
        <scheme val="minor"/>
      </rPr>
      <t xml:space="preserve"> button</t>
    </r>
  </si>
  <si>
    <r>
      <t xml:space="preserve">Create </t>
    </r>
    <r>
      <rPr>
        <b/>
        <sz val="11"/>
        <color theme="1"/>
        <rFont val="Calibri"/>
        <family val="2"/>
        <scheme val="minor"/>
      </rPr>
      <t>RenterBookedE-BikeOptions</t>
    </r>
    <r>
      <rPr>
        <sz val="11"/>
        <color theme="1"/>
        <rFont val="Calibri"/>
        <family val="2"/>
        <scheme val="minor"/>
      </rPr>
      <t xml:space="preserve"> screen </t>
    </r>
    <r>
      <rPr>
        <b/>
        <sz val="11"/>
        <color theme="1"/>
        <rFont val="Calibri"/>
        <family val="2"/>
        <scheme val="minor"/>
      </rPr>
      <t>pre-ride UI</t>
    </r>
    <r>
      <rPr>
        <sz val="11"/>
        <color theme="1"/>
        <rFont val="Calibri"/>
        <family val="2"/>
        <scheme val="minor"/>
      </rPr>
      <t xml:space="preserve"> logic (</t>
    </r>
    <r>
      <rPr>
        <b/>
        <sz val="11"/>
        <color theme="1"/>
        <rFont val="Calibri"/>
        <family val="2"/>
        <scheme val="minor"/>
      </rPr>
      <t>BEFORE BOOKING START DATE</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t>
    </r>
    <r>
      <rPr>
        <b/>
        <sz val="11"/>
        <color theme="1"/>
        <rFont val="Calibri"/>
        <family val="2"/>
        <scheme val="minor"/>
      </rPr>
      <t>startDate</t>
    </r>
    <r>
      <rPr>
        <sz val="11"/>
        <color theme="1"/>
        <rFont val="Calibri"/>
        <family val="2"/>
        <scheme val="minor"/>
      </rPr>
      <t xml:space="preserve"> and </t>
    </r>
    <r>
      <rPr>
        <b/>
        <sz val="11"/>
        <color theme="1"/>
        <rFont val="Calibri"/>
        <family val="2"/>
        <scheme val="minor"/>
      </rPr>
      <t>endDate</t>
    </r>
    <r>
      <rPr>
        <sz val="11"/>
        <color theme="1"/>
        <rFont val="Calibri"/>
        <family val="2"/>
        <scheme val="minor"/>
      </rPr>
      <t xml:space="preserve"> MUST be same as the Bike pickup location's time, </t>
    </r>
    <r>
      <rPr>
        <b/>
        <sz val="11"/>
        <color theme="1"/>
        <rFont val="Calibri"/>
        <family val="2"/>
        <scheme val="minor"/>
      </rPr>
      <t>NOT</t>
    </r>
    <r>
      <rPr>
        <sz val="11"/>
        <color theme="1"/>
        <rFont val="Calibri"/>
        <family val="2"/>
        <scheme val="minor"/>
      </rPr>
      <t xml:space="preserve"> user's device location or time
1. Condition: Current Date &lt; Booking Start Date AND Status == </t>
    </r>
    <r>
      <rPr>
        <b/>
        <sz val="11"/>
        <color theme="1"/>
        <rFont val="Calibri"/>
        <family val="2"/>
        <scheme val="minor"/>
      </rPr>
      <t>CONFIRMED</t>
    </r>
    <r>
      <rPr>
        <sz val="11"/>
        <color theme="1"/>
        <rFont val="Calibri"/>
        <family val="2"/>
        <scheme val="minor"/>
      </rPr>
      <t xml:space="preserve">.
2. UI Elements:
- Primary Action: </t>
    </r>
    <r>
      <rPr>
        <b/>
        <u/>
        <sz val="11"/>
        <color theme="1"/>
        <rFont val="Calibri"/>
        <family val="2"/>
        <scheme val="minor"/>
      </rPr>
      <t>Cancel Booking</t>
    </r>
    <r>
      <rPr>
        <sz val="11"/>
        <color theme="1"/>
        <rFont val="Calibri"/>
        <family val="2"/>
        <scheme val="minor"/>
      </rPr>
      <t xml:space="preserve"> hyperlink is Visible &amp; Active.
- Secondary Action: </t>
    </r>
    <r>
      <rPr>
        <b/>
        <sz val="11"/>
        <color theme="1"/>
        <rFont val="Calibri"/>
        <family val="2"/>
        <scheme val="minor"/>
      </rPr>
      <t>Accept E-Bike</t>
    </r>
    <r>
      <rPr>
        <sz val="11"/>
        <color theme="1"/>
        <rFont val="Calibri"/>
        <family val="2"/>
        <scheme val="minor"/>
      </rPr>
      <t xml:space="preserve"> button is Hidden.</t>
    </r>
  </si>
  <si>
    <r>
      <t xml:space="preserve">On </t>
    </r>
    <r>
      <rPr>
        <b/>
        <sz val="11"/>
        <color theme="1"/>
        <rFont val="Calibri"/>
        <family val="2"/>
        <scheme val="minor"/>
      </rPr>
      <t xml:space="preserve">RenterBookedE-BikeOptions </t>
    </r>
    <r>
      <rPr>
        <sz val="11"/>
        <color theme="1"/>
        <rFont val="Calibri"/>
        <family val="2"/>
        <scheme val="minor"/>
      </rPr>
      <t xml:space="preserve">screen, add UI logic for:
</t>
    </r>
    <r>
      <rPr>
        <b/>
        <sz val="11"/>
        <color theme="1"/>
        <rFont val="Calibri"/>
        <family val="2"/>
        <scheme val="minor"/>
      </rPr>
      <t>Handover Mode</t>
    </r>
    <r>
      <rPr>
        <sz val="11"/>
        <color theme="1"/>
        <rFont val="Calibri"/>
        <family val="2"/>
        <scheme val="minor"/>
      </rPr>
      <t xml:space="preserve"> (The "Start ride" Phase)
1. Condition: Current Date &gt;= Booking Start Date AND Status == </t>
    </r>
    <r>
      <rPr>
        <b/>
        <sz val="11"/>
        <color theme="1"/>
        <rFont val="Calibri"/>
        <family val="2"/>
        <scheme val="minor"/>
      </rPr>
      <t>CONFIRMED</t>
    </r>
    <r>
      <rPr>
        <sz val="11"/>
        <color theme="1"/>
        <rFont val="Calibri"/>
        <family val="2"/>
        <scheme val="minor"/>
      </rPr>
      <t xml:space="preserve"> (Not yet accepted).
2. UI Elements:
- Primary Action: </t>
    </r>
    <r>
      <rPr>
        <b/>
        <sz val="11"/>
        <color theme="1"/>
        <rFont val="Calibri"/>
        <family val="2"/>
        <scheme val="minor"/>
      </rPr>
      <t>Accept E-Bike</t>
    </r>
    <r>
      <rPr>
        <sz val="11"/>
        <color theme="1"/>
        <rFont val="Calibri"/>
        <family val="2"/>
        <scheme val="minor"/>
      </rPr>
      <t xml:space="preserve"> button becomes Visible &amp; Active.
- Secondary Action: </t>
    </r>
    <r>
      <rPr>
        <b/>
        <u/>
        <sz val="11"/>
        <color theme="1"/>
        <rFont val="Calibri"/>
        <family val="2"/>
        <scheme val="minor"/>
      </rPr>
      <t>Cancel Booking</t>
    </r>
    <r>
      <rPr>
        <sz val="11"/>
        <color theme="1"/>
        <rFont val="Calibri"/>
        <family val="2"/>
        <scheme val="minor"/>
      </rPr>
      <t xml:space="preserve"> hyperlink is hidden away.</t>
    </r>
  </si>
  <si>
    <r>
      <t xml:space="preserve">Create </t>
    </r>
    <r>
      <rPr>
        <b/>
        <sz val="11"/>
        <color theme="1"/>
        <rFont val="Calibri"/>
        <family val="2"/>
        <scheme val="minor"/>
      </rPr>
      <t>RenterBookedE-BikeOptions</t>
    </r>
    <r>
      <rPr>
        <sz val="11"/>
        <color theme="1"/>
        <rFont val="Calibri"/>
        <family val="2"/>
        <scheme val="minor"/>
      </rPr>
      <t xml:space="preserve"> screen layout:
1. Render the booked E-Bike's 
- enlarged image as the card's background image (occupying 100% of the card)
- name, rating with (no. of ratings) in the lowest sub-section of the card with 85% opacity.
2. </t>
    </r>
    <r>
      <rPr>
        <b/>
        <sz val="11"/>
        <color theme="1"/>
        <rFont val="Calibri"/>
        <family val="2"/>
        <scheme val="minor"/>
      </rPr>
      <t>Price</t>
    </r>
    <r>
      <rPr>
        <sz val="11"/>
        <color theme="1"/>
        <rFont val="Calibri"/>
        <family val="2"/>
        <scheme val="minor"/>
      </rPr>
      <t xml:space="preserve">, E-bike </t>
    </r>
    <r>
      <rPr>
        <b/>
        <sz val="11"/>
        <color theme="1"/>
        <rFont val="Calibri"/>
        <family val="2"/>
        <scheme val="minor"/>
      </rPr>
      <t>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 range</t>
    </r>
    <r>
      <rPr>
        <sz val="11"/>
        <color theme="1"/>
        <rFont val="Calibri"/>
        <family val="2"/>
        <scheme val="minor"/>
      </rPr>
      <t xml:space="preserve"> of booking (From-To) of the cheapest e-bike under the card
3. </t>
    </r>
    <r>
      <rPr>
        <b/>
        <u/>
        <sz val="11"/>
        <color theme="1"/>
        <rFont val="Calibri"/>
        <family val="2"/>
        <scheme val="minor"/>
      </rPr>
      <t>View Owner's Profile</t>
    </r>
    <r>
      <rPr>
        <sz val="11"/>
        <color theme="1"/>
        <rFont val="Calibri"/>
        <family val="2"/>
        <scheme val="minor"/>
      </rPr>
      <t xml:space="preserve"> clickable hyperlink
4. </t>
    </r>
    <r>
      <rPr>
        <b/>
        <u/>
        <sz val="11"/>
        <color theme="1"/>
        <rFont val="Calibri"/>
        <family val="2"/>
        <scheme val="minor"/>
      </rPr>
      <t>Insurance Details</t>
    </r>
    <r>
      <rPr>
        <sz val="11"/>
        <color theme="1"/>
        <rFont val="Calibri"/>
        <family val="2"/>
        <scheme val="minor"/>
      </rPr>
      <t xml:space="preserve"> clickable hyperlink
5. </t>
    </r>
    <r>
      <rPr>
        <b/>
        <u/>
        <sz val="11"/>
        <color theme="1"/>
        <rFont val="Calibri"/>
        <family val="2"/>
        <scheme val="minor"/>
      </rPr>
      <t>Cancel Booking</t>
    </r>
    <r>
      <rPr>
        <sz val="11"/>
        <color theme="1"/>
        <rFont val="Calibri"/>
        <family val="2"/>
        <scheme val="minor"/>
      </rPr>
      <t xml:space="preserve"> clickable hyperlink
6. Fetch the booking start date and hide away </t>
    </r>
    <r>
      <rPr>
        <b/>
        <u/>
        <sz val="11"/>
        <color theme="1"/>
        <rFont val="Calibri"/>
        <family val="2"/>
        <scheme val="minor"/>
      </rPr>
      <t>Cancel Booking</t>
    </r>
    <r>
      <rPr>
        <sz val="11"/>
        <color theme="1"/>
        <rFont val="Calibri"/>
        <family val="2"/>
        <scheme val="minor"/>
      </rPr>
      <t xml:space="preserve"> option as soon as the date arrives
- Render a checkbox, followed by "I confirm all </t>
    </r>
    <r>
      <rPr>
        <b/>
        <u/>
        <sz val="11"/>
        <color theme="1"/>
        <rFont val="Calibri"/>
        <family val="2"/>
        <scheme val="minor"/>
      </rPr>
      <t>e-bike features</t>
    </r>
    <r>
      <rPr>
        <sz val="11"/>
        <color theme="1"/>
        <rFont val="Calibri"/>
        <family val="2"/>
        <scheme val="minor"/>
      </rPr>
      <t xml:space="preserve"> are working fine" text with hyperlink
- Render </t>
    </r>
    <r>
      <rPr>
        <b/>
        <sz val="11"/>
        <color theme="1"/>
        <rFont val="Calibri"/>
        <family val="2"/>
        <scheme val="minor"/>
      </rPr>
      <t>Accept E-Bike</t>
    </r>
    <r>
      <rPr>
        <sz val="11"/>
        <color theme="1"/>
        <rFont val="Calibri"/>
        <family val="2"/>
        <scheme val="minor"/>
      </rPr>
      <t xml:space="preserve"> primary button
7. Navigate to </t>
    </r>
    <r>
      <rPr>
        <b/>
        <sz val="11"/>
        <color theme="1"/>
        <rFont val="Calibri"/>
        <family val="2"/>
        <scheme val="minor"/>
      </rPr>
      <t>RenterBookedE-BikeCancellationOption</t>
    </r>
    <r>
      <rPr>
        <sz val="11"/>
        <color theme="1"/>
        <rFont val="Calibri"/>
        <family val="2"/>
        <scheme val="minor"/>
      </rPr>
      <t xml:space="preserve"> screen onPress of </t>
    </r>
    <r>
      <rPr>
        <b/>
        <u/>
        <sz val="11"/>
        <color theme="1"/>
        <rFont val="Calibri"/>
        <family val="2"/>
        <scheme val="minor"/>
      </rPr>
      <t>Cancel Booking</t>
    </r>
    <r>
      <rPr>
        <sz val="11"/>
        <color theme="1"/>
        <rFont val="Calibri"/>
        <family val="2"/>
        <scheme val="minor"/>
      </rPr>
      <t xml:space="preserve"> hyperlink</t>
    </r>
  </si>
  <si>
    <r>
      <t xml:space="preserve">Add logic for </t>
    </r>
    <r>
      <rPr>
        <b/>
        <sz val="11"/>
        <color theme="1"/>
        <rFont val="Calibri"/>
        <family val="2"/>
        <scheme val="minor"/>
      </rPr>
      <t>Active Ride Mode</t>
    </r>
    <r>
      <rPr>
        <sz val="11"/>
        <color theme="1"/>
        <rFont val="Calibri"/>
        <family val="2"/>
        <scheme val="minor"/>
      </rPr>
      <t xml:space="preserve"> (The "During ride" Phase)
1. Condition: Status == ACTIVE (User has completed the checklist and clicked "</t>
    </r>
    <r>
      <rPr>
        <b/>
        <sz val="11"/>
        <color theme="1"/>
        <rFont val="Calibri"/>
        <family val="2"/>
        <scheme val="minor"/>
      </rPr>
      <t>Confirm</t>
    </r>
    <r>
      <rPr>
        <sz val="11"/>
        <color theme="1"/>
        <rFont val="Calibri"/>
        <family val="2"/>
        <scheme val="minor"/>
      </rPr>
      <t xml:space="preserve">").
2. UI Elements:
- Primary Action: </t>
    </r>
    <r>
      <rPr>
        <b/>
        <sz val="11"/>
        <color theme="1"/>
        <rFont val="Calibri"/>
        <family val="2"/>
        <scheme val="minor"/>
      </rPr>
      <t>Accept E-Bike</t>
    </r>
    <r>
      <rPr>
        <sz val="11"/>
        <color theme="1"/>
        <rFont val="Calibri"/>
        <family val="2"/>
        <scheme val="minor"/>
      </rPr>
      <t xml:space="preserve"> button transforms into </t>
    </r>
    <r>
      <rPr>
        <b/>
        <sz val="11"/>
        <color theme="1"/>
        <rFont val="Calibri"/>
        <family val="2"/>
        <scheme val="minor"/>
      </rPr>
      <t>Return E-Bike</t>
    </r>
    <r>
      <rPr>
        <sz val="11"/>
        <color theme="1"/>
        <rFont val="Calibri"/>
        <family val="2"/>
        <scheme val="minor"/>
      </rPr>
      <t>. (button label change)
- Secondary Action: "</t>
    </r>
    <r>
      <rPr>
        <b/>
        <u/>
        <sz val="11"/>
        <color theme="1"/>
        <rFont val="Calibri"/>
        <family val="2"/>
        <scheme val="minor"/>
      </rPr>
      <t>Report an Incident</t>
    </r>
    <r>
      <rPr>
        <sz val="11"/>
        <color theme="1"/>
        <rFont val="Calibri"/>
        <family val="2"/>
        <scheme val="minor"/>
      </rPr>
      <t xml:space="preserve"> with current booking" hyperlink + text becomes Visible.
- Tertiary Action: </t>
    </r>
    <r>
      <rPr>
        <b/>
        <u/>
        <sz val="11"/>
        <color theme="1"/>
        <rFont val="Calibri"/>
        <family val="2"/>
        <scheme val="minor"/>
      </rPr>
      <t>Cancel Booking</t>
    </r>
    <r>
      <rPr>
        <sz val="11"/>
        <color theme="1"/>
        <rFont val="Calibri"/>
        <family val="2"/>
        <scheme val="minor"/>
      </rPr>
      <t xml:space="preserve"> is Removed entirely (you can't cancel a ride you are currently on; you can only Return or Report).</t>
    </r>
  </si>
  <si>
    <t>Bur</t>
  </si>
  <si>
    <t>Type</t>
  </si>
  <si>
    <t>Details</t>
  </si>
  <si>
    <t>Resolution</t>
  </si>
  <si>
    <t>Owner</t>
  </si>
  <si>
    <t>SME</t>
  </si>
  <si>
    <t>Priority</t>
  </si>
  <si>
    <t>Impediments</t>
  </si>
  <si>
    <t>Issue in</t>
  </si>
  <si>
    <t>Solving Suggestion</t>
  </si>
  <si>
    <r>
      <t xml:space="preserve">On </t>
    </r>
    <r>
      <rPr>
        <b/>
        <sz val="11"/>
        <color theme="1"/>
        <rFont val="Calibri"/>
        <family val="2"/>
        <scheme val="minor"/>
      </rPr>
      <t xml:space="preserve">RenterBookedE-BikeOptions </t>
    </r>
    <r>
      <rPr>
        <sz val="11"/>
        <color theme="1"/>
        <rFont val="Calibri"/>
        <family val="2"/>
        <scheme val="minor"/>
      </rPr>
      <t xml:space="preserve">screen:
1. Add logic for blocking navigation of </t>
    </r>
    <r>
      <rPr>
        <b/>
        <sz val="11"/>
        <color theme="1"/>
        <rFont val="Calibri"/>
        <family val="2"/>
        <scheme val="minor"/>
      </rPr>
      <t xml:space="preserve">Accept E-Bike </t>
    </r>
    <r>
      <rPr>
        <sz val="11"/>
        <color theme="1"/>
        <rFont val="Calibri"/>
        <family val="2"/>
        <scheme val="minor"/>
      </rPr>
      <t xml:space="preserve">button until the "I confirm all </t>
    </r>
    <r>
      <rPr>
        <b/>
        <u/>
        <sz val="11"/>
        <color theme="1"/>
        <rFont val="Calibri"/>
        <family val="2"/>
        <scheme val="minor"/>
      </rPr>
      <t>e-bike features</t>
    </r>
    <r>
      <rPr>
        <sz val="11"/>
        <color theme="1"/>
        <rFont val="Calibri"/>
        <family val="2"/>
        <scheme val="minor"/>
      </rPr>
      <t xml:space="preserve"> are working fine" checkbox is checked.
2. If checked, onPress of </t>
    </r>
    <r>
      <rPr>
        <b/>
        <sz val="11"/>
        <color theme="1"/>
        <rFont val="Calibri"/>
        <family val="2"/>
        <scheme val="minor"/>
      </rPr>
      <t>Accept E-Bike</t>
    </r>
    <r>
      <rPr>
        <sz val="11"/>
        <color theme="1"/>
        <rFont val="Calibri"/>
        <family val="2"/>
        <scheme val="minor"/>
      </rPr>
      <t xml:space="preserve"> button changes the </t>
    </r>
    <r>
      <rPr>
        <b/>
        <sz val="11"/>
        <color theme="1"/>
        <rFont val="Calibri"/>
        <family val="2"/>
        <scheme val="minor"/>
      </rPr>
      <t>RenterBookedE-BikeOptions</t>
    </r>
    <r>
      <rPr>
        <sz val="11"/>
        <color theme="1"/>
        <rFont val="Calibri"/>
        <family val="2"/>
        <scheme val="minor"/>
      </rPr>
      <t xml:space="preserve"> screen to </t>
    </r>
    <r>
      <rPr>
        <b/>
        <sz val="11"/>
        <color theme="1"/>
        <rFont val="Calibri"/>
        <family val="2"/>
        <scheme val="minor"/>
      </rPr>
      <t xml:space="preserve">RenterE-BikeCurrentBooking </t>
    </r>
    <r>
      <rPr>
        <sz val="11"/>
        <color theme="1"/>
        <rFont val="Calibri"/>
        <family val="2"/>
        <scheme val="minor"/>
      </rPr>
      <t xml:space="preserve">screen and sets status == </t>
    </r>
    <r>
      <rPr>
        <b/>
        <sz val="11"/>
        <color theme="1"/>
        <rFont val="Calibri"/>
        <family val="2"/>
        <scheme val="minor"/>
      </rPr>
      <t>ACTIVE</t>
    </r>
    <r>
      <rPr>
        <sz val="11"/>
        <color theme="1"/>
        <rFont val="Calibri"/>
        <family val="2"/>
        <scheme val="minor"/>
      </rPr>
      <t xml:space="preserve">
3. onPress of </t>
    </r>
    <r>
      <rPr>
        <b/>
        <u/>
        <sz val="11"/>
        <color theme="1"/>
        <rFont val="Calibri"/>
        <family val="2"/>
        <scheme val="minor"/>
      </rPr>
      <t>e-bike features</t>
    </r>
    <r>
      <rPr>
        <sz val="11"/>
        <color theme="1"/>
        <rFont val="Calibri"/>
        <family val="2"/>
        <scheme val="minor"/>
      </rPr>
      <t xml:space="preserve"> pops up </t>
    </r>
    <r>
      <rPr>
        <b/>
        <sz val="11"/>
        <color theme="1"/>
        <rFont val="Calibri"/>
        <family val="2"/>
        <scheme val="minor"/>
      </rPr>
      <t>RenterBookedE-BikeFeaturestoCheck</t>
    </r>
    <r>
      <rPr>
        <sz val="11"/>
        <color theme="1"/>
        <rFont val="Calibri"/>
        <family val="2"/>
        <scheme val="minor"/>
      </rPr>
      <t xml:space="preserve"> bottom sheet</t>
    </r>
  </si>
  <si>
    <r>
      <t xml:space="preserve">Create </t>
    </r>
    <r>
      <rPr>
        <b/>
        <sz val="11"/>
        <color theme="1"/>
        <rFont val="Calibri"/>
        <family val="2"/>
        <scheme val="minor"/>
      </rPr>
      <t>RenterBookedE-BikeFeaturestoCheck</t>
    </r>
    <r>
      <rPr>
        <sz val="11"/>
        <color theme="1"/>
        <rFont val="Calibri"/>
        <family val="2"/>
        <scheme val="minor"/>
      </rPr>
      <t xml:space="preserve"> bottom sheet component
1. Add on/off toggles for all the feature options
2. Render </t>
    </r>
    <r>
      <rPr>
        <b/>
        <sz val="11"/>
        <color theme="1"/>
        <rFont val="Calibri"/>
        <family val="2"/>
        <scheme val="minor"/>
      </rPr>
      <t xml:space="preserve">Raise Issue </t>
    </r>
    <r>
      <rPr>
        <sz val="11"/>
        <color theme="1"/>
        <rFont val="Calibri"/>
        <family val="2"/>
        <scheme val="minor"/>
      </rPr>
      <t xml:space="preserve">primary button
3. Add logic to block operation of </t>
    </r>
    <r>
      <rPr>
        <b/>
        <sz val="11"/>
        <color theme="1"/>
        <rFont val="Calibri"/>
        <family val="2"/>
        <scheme val="minor"/>
      </rPr>
      <t xml:space="preserve">Raise Issue </t>
    </r>
    <r>
      <rPr>
        <sz val="11"/>
        <color theme="1"/>
        <rFont val="Calibri"/>
        <family val="2"/>
        <scheme val="minor"/>
      </rPr>
      <t xml:space="preserve">button until at least 1 (or more than 1) toggles are turned off
4. If &gt;=1 toggles are turned off, onPress of </t>
    </r>
    <r>
      <rPr>
        <b/>
        <sz val="11"/>
        <color theme="1"/>
        <rFont val="Calibri"/>
        <family val="2"/>
        <scheme val="minor"/>
      </rPr>
      <t xml:space="preserve">Raise Issue </t>
    </r>
    <r>
      <rPr>
        <sz val="11"/>
        <color theme="1"/>
        <rFont val="Calibri"/>
        <family val="2"/>
        <scheme val="minor"/>
      </rPr>
      <t xml:space="preserve">button navigates to </t>
    </r>
    <r>
      <rPr>
        <b/>
        <sz val="11"/>
        <color theme="1"/>
        <rFont val="Calibri"/>
        <family val="2"/>
        <scheme val="minor"/>
      </rPr>
      <t xml:space="preserve">RenterBookedE-BikeRaiseIssue </t>
    </r>
    <r>
      <rPr>
        <sz val="11"/>
        <color theme="1"/>
        <rFont val="Calibri"/>
        <family val="2"/>
        <scheme val="minor"/>
      </rPr>
      <t xml:space="preserve">screen
5. Tapping outside the bottom sheet closes it, keeping user in </t>
    </r>
    <r>
      <rPr>
        <b/>
        <sz val="11"/>
        <color theme="1"/>
        <rFont val="Calibri"/>
        <family val="2"/>
        <scheme val="minor"/>
      </rPr>
      <t>RenterBookedE-BikeOptions</t>
    </r>
    <r>
      <rPr>
        <sz val="11"/>
        <color theme="1"/>
        <rFont val="Calibri"/>
        <family val="2"/>
        <scheme val="minor"/>
      </rPr>
      <t xml:space="preserve"> screen</t>
    </r>
  </si>
  <si>
    <r>
      <t xml:space="preserve">On </t>
    </r>
    <r>
      <rPr>
        <b/>
        <sz val="11"/>
        <color theme="1"/>
        <rFont val="Calibri"/>
        <family val="2"/>
        <scheme val="minor"/>
      </rPr>
      <t>RenterE-BikeCurrentBooking</t>
    </r>
    <r>
      <rPr>
        <sz val="11"/>
        <color theme="1"/>
        <rFont val="Calibri"/>
        <family val="2"/>
        <scheme val="minor"/>
      </rPr>
      <t xml:space="preserve"> screen, create </t>
    </r>
    <r>
      <rPr>
        <b/>
        <sz val="11"/>
        <color theme="1"/>
        <rFont val="Calibri"/>
        <family val="2"/>
        <scheme val="minor"/>
      </rPr>
      <t>modal</t>
    </r>
    <r>
      <rPr>
        <sz val="11"/>
        <color theme="1"/>
        <rFont val="Calibri"/>
        <family val="2"/>
        <scheme val="minor"/>
      </rPr>
      <t xml:space="preserve"> window component:
- Add message for user: "You are about to return the E-Bike before your booking ends, there won't be any refunds!"
- Add two pressable options in the modal window: </t>
    </r>
    <r>
      <rPr>
        <b/>
        <sz val="11"/>
        <color theme="1"/>
        <rFont val="Calibri"/>
        <family val="2"/>
        <scheme val="minor"/>
      </rPr>
      <t>Keep Riding</t>
    </r>
    <r>
      <rPr>
        <sz val="11"/>
        <color theme="1"/>
        <rFont val="Calibri"/>
        <family val="2"/>
        <scheme val="minor"/>
      </rPr>
      <t xml:space="preserve"> as primary, </t>
    </r>
    <r>
      <rPr>
        <b/>
        <sz val="11"/>
        <color theme="1"/>
        <rFont val="Calibri"/>
        <family val="2"/>
        <scheme val="minor"/>
      </rPr>
      <t>Return Anyway</t>
    </r>
    <r>
      <rPr>
        <sz val="11"/>
        <color theme="1"/>
        <rFont val="Calibri"/>
        <family val="2"/>
        <scheme val="minor"/>
      </rPr>
      <t xml:space="preserve"> as secondary
- </t>
    </r>
    <r>
      <rPr>
        <b/>
        <sz val="11"/>
        <color theme="1"/>
        <rFont val="Calibri"/>
        <family val="2"/>
        <scheme val="minor"/>
      </rPr>
      <t>Return Anyway</t>
    </r>
    <r>
      <rPr>
        <sz val="11"/>
        <color theme="1"/>
        <rFont val="Calibri"/>
        <family val="2"/>
        <scheme val="minor"/>
      </rPr>
      <t xml:space="preserve"> onPress navigates to </t>
    </r>
    <r>
      <rPr>
        <b/>
        <sz val="11"/>
        <color theme="1"/>
        <rFont val="Calibri"/>
        <family val="2"/>
        <scheme val="minor"/>
      </rPr>
      <t>RenterE-BikeReturn</t>
    </r>
    <r>
      <rPr>
        <sz val="11"/>
        <color theme="1"/>
        <rFont val="Calibri"/>
        <family val="2"/>
        <scheme val="minor"/>
      </rPr>
      <t xml:space="preserve"> screen
- </t>
    </r>
    <r>
      <rPr>
        <b/>
        <sz val="11"/>
        <color theme="1"/>
        <rFont val="Calibri"/>
        <family val="2"/>
        <scheme val="minor"/>
      </rPr>
      <t xml:space="preserve">Keep Riding </t>
    </r>
    <r>
      <rPr>
        <sz val="11"/>
        <color theme="1"/>
        <rFont val="Calibri"/>
        <family val="2"/>
        <scheme val="minor"/>
      </rPr>
      <t xml:space="preserve">onPress closes the modal, keeping user on the </t>
    </r>
    <r>
      <rPr>
        <b/>
        <sz val="11"/>
        <color theme="1"/>
        <rFont val="Calibri"/>
        <family val="2"/>
        <scheme val="minor"/>
      </rPr>
      <t>RenterE-BikeCurrentBooking</t>
    </r>
    <r>
      <rPr>
        <sz val="11"/>
        <color theme="1"/>
        <rFont val="Calibri"/>
        <family val="2"/>
        <scheme val="minor"/>
      </rPr>
      <t xml:space="preserve"> screen</t>
    </r>
  </si>
  <si>
    <r>
      <t xml:space="preserve">Create </t>
    </r>
    <r>
      <rPr>
        <b/>
        <sz val="11"/>
        <color theme="1"/>
        <rFont val="Calibri"/>
        <family val="2"/>
        <scheme val="minor"/>
      </rPr>
      <t>RenterE-BikeCurrentBookingReportIncident</t>
    </r>
    <r>
      <rPr>
        <sz val="11"/>
        <color theme="1"/>
        <rFont val="Calibri"/>
        <family val="2"/>
        <scheme val="minor"/>
      </rPr>
      <t xml:space="preserve"> screen layout:
1. Add heading:</t>
    </r>
    <r>
      <rPr>
        <b/>
        <sz val="11"/>
        <color theme="1"/>
        <rFont val="Calibri"/>
        <family val="2"/>
        <scheme val="minor"/>
      </rPr>
      <t>Report Incident</t>
    </r>
    <r>
      <rPr>
        <sz val="11"/>
        <color theme="1"/>
        <rFont val="Calibri"/>
        <family val="2"/>
        <scheme val="minor"/>
      </rPr>
      <t xml:space="preserve">
2. Add </t>
    </r>
    <r>
      <rPr>
        <b/>
        <sz val="11"/>
        <color theme="1"/>
        <rFont val="Calibri"/>
        <family val="2"/>
        <scheme val="minor"/>
      </rPr>
      <t>Upload an image of the incident</t>
    </r>
    <r>
      <rPr>
        <sz val="11"/>
        <color theme="1"/>
        <rFont val="Calibri"/>
        <family val="2"/>
        <scheme val="minor"/>
      </rPr>
      <t xml:space="preserve"> camera upload
3. Add subheading: </t>
    </r>
    <r>
      <rPr>
        <b/>
        <sz val="11"/>
        <color theme="1"/>
        <rFont val="Calibri"/>
        <family val="2"/>
        <scheme val="minor"/>
      </rPr>
      <t xml:space="preserve">Incident Category
</t>
    </r>
    <r>
      <rPr>
        <sz val="11"/>
        <color theme="1"/>
        <rFont val="Calibri"/>
        <family val="2"/>
        <scheme val="minor"/>
      </rPr>
      <t xml:space="preserve">- Add a dropdown field for selecting from given incident </t>
    </r>
    <r>
      <rPr>
        <b/>
        <sz val="11"/>
        <color theme="1"/>
        <rFont val="Calibri"/>
        <family val="2"/>
        <scheme val="minor"/>
      </rPr>
      <t>enum</t>
    </r>
    <r>
      <rPr>
        <sz val="11"/>
        <color theme="1"/>
        <rFont val="Calibri"/>
        <family val="2"/>
        <scheme val="minor"/>
      </rPr>
      <t xml:space="preserve">: (Theft, Flat Tyre,...., Others)
4. Add subheading: </t>
    </r>
    <r>
      <rPr>
        <b/>
        <sz val="11"/>
        <color theme="1"/>
        <rFont val="Calibri"/>
        <family val="2"/>
        <scheme val="minor"/>
      </rPr>
      <t>Incident Details</t>
    </r>
    <r>
      <rPr>
        <sz val="11"/>
        <color theme="1"/>
        <rFont val="Calibri"/>
        <family val="2"/>
        <scheme val="minor"/>
      </rPr>
      <t xml:space="preserve">
- Add a TextField that accepts 500 characters max.
6. Add </t>
    </r>
    <r>
      <rPr>
        <b/>
        <sz val="11"/>
        <color theme="1"/>
        <rFont val="Calibri"/>
        <family val="2"/>
        <scheme val="minor"/>
      </rPr>
      <t>Report</t>
    </r>
    <r>
      <rPr>
        <sz val="11"/>
        <color theme="1"/>
        <rFont val="Calibri"/>
        <family val="2"/>
        <scheme val="minor"/>
      </rPr>
      <t xml:space="preserve"> primary button
7. Add </t>
    </r>
    <r>
      <rPr>
        <b/>
        <sz val="11"/>
        <color theme="1"/>
        <rFont val="Calibri"/>
        <family val="2"/>
        <scheme val="minor"/>
      </rPr>
      <t>Dial 000</t>
    </r>
    <r>
      <rPr>
        <sz val="11"/>
        <color theme="1"/>
        <rFont val="Calibri"/>
        <family val="2"/>
        <scheme val="minor"/>
      </rPr>
      <t xml:space="preserve"> secondary button
8. Add </t>
    </r>
    <r>
      <rPr>
        <b/>
        <sz val="11"/>
        <color theme="1"/>
        <rFont val="Calibri"/>
        <family val="2"/>
        <scheme val="minor"/>
      </rPr>
      <t xml:space="preserve">Make an Insurance Claim </t>
    </r>
    <r>
      <rPr>
        <sz val="11"/>
        <color theme="1"/>
        <rFont val="Calibri"/>
        <family val="2"/>
        <scheme val="minor"/>
      </rPr>
      <t xml:space="preserve">secondary button
- onpress navigates to </t>
    </r>
    <r>
      <rPr>
        <b/>
        <sz val="11"/>
        <color theme="1"/>
        <rFont val="Calibri"/>
        <family val="2"/>
        <scheme val="minor"/>
      </rPr>
      <t xml:space="preserve">RenterE-BikeCurrentBookingClaimInsurance </t>
    </r>
    <r>
      <rPr>
        <sz val="11"/>
        <color theme="1"/>
        <rFont val="Calibri"/>
        <family val="2"/>
        <scheme val="minor"/>
      </rPr>
      <t>screen</t>
    </r>
  </si>
  <si>
    <r>
      <t xml:space="preserve">Create </t>
    </r>
    <r>
      <rPr>
        <b/>
        <sz val="11"/>
        <color theme="1"/>
        <rFont val="Calibri"/>
        <family val="2"/>
        <scheme val="minor"/>
      </rPr>
      <t>RenterBookedE-BikeRaiseIssue</t>
    </r>
    <r>
      <rPr>
        <sz val="11"/>
        <color theme="1"/>
        <rFont val="Calibri"/>
        <family val="2"/>
        <scheme val="minor"/>
      </rPr>
      <t xml:space="preserve"> screen layout:
1. Add heading: </t>
    </r>
    <r>
      <rPr>
        <b/>
        <sz val="11"/>
        <color theme="1"/>
        <rFont val="Calibri"/>
        <family val="2"/>
        <scheme val="minor"/>
      </rPr>
      <t>Raise Issue</t>
    </r>
    <r>
      <rPr>
        <sz val="11"/>
        <color theme="1"/>
        <rFont val="Calibri"/>
        <family val="2"/>
        <scheme val="minor"/>
      </rPr>
      <t xml:space="preserve">
2. Add </t>
    </r>
    <r>
      <rPr>
        <b/>
        <sz val="11"/>
        <color theme="1"/>
        <rFont val="Calibri"/>
        <family val="2"/>
        <scheme val="minor"/>
      </rPr>
      <t>Upload an image of the issue</t>
    </r>
    <r>
      <rPr>
        <sz val="11"/>
        <color theme="1"/>
        <rFont val="Calibri"/>
        <family val="2"/>
        <scheme val="minor"/>
      </rPr>
      <t xml:space="preserve"> camera upload
3. Add subheading: </t>
    </r>
    <r>
      <rPr>
        <b/>
        <sz val="11"/>
        <color theme="1"/>
        <rFont val="Calibri"/>
        <family val="2"/>
        <scheme val="minor"/>
      </rPr>
      <t>Describe the Issue</t>
    </r>
    <r>
      <rPr>
        <sz val="11"/>
        <color theme="1"/>
        <rFont val="Calibri"/>
        <family val="2"/>
        <scheme val="minor"/>
      </rPr>
      <t xml:space="preserve">
- Add a TextField that accepts 500 characters max.
4. Add </t>
    </r>
    <r>
      <rPr>
        <b/>
        <sz val="11"/>
        <color theme="1"/>
        <rFont val="Calibri"/>
        <family val="2"/>
        <scheme val="minor"/>
      </rPr>
      <t>Raise Issuse + Cancel Booking</t>
    </r>
    <r>
      <rPr>
        <sz val="11"/>
        <color theme="1"/>
        <rFont val="Calibri"/>
        <family val="2"/>
        <scheme val="minor"/>
      </rPr>
      <t xml:space="preserve"> secondary button
- </t>
    </r>
    <r>
      <rPr>
        <b/>
        <sz val="11"/>
        <color theme="1"/>
        <rFont val="Calibri"/>
        <family val="2"/>
        <scheme val="minor"/>
      </rPr>
      <t>Image</t>
    </r>
    <r>
      <rPr>
        <sz val="11"/>
        <color theme="1"/>
        <rFont val="Calibri"/>
        <family val="2"/>
        <scheme val="minor"/>
      </rPr>
      <t xml:space="preserve"> and </t>
    </r>
    <r>
      <rPr>
        <b/>
        <sz val="11"/>
        <color theme="1"/>
        <rFont val="Calibri"/>
        <family val="2"/>
        <scheme val="minor"/>
      </rPr>
      <t>Description</t>
    </r>
    <r>
      <rPr>
        <sz val="11"/>
        <color theme="1"/>
        <rFont val="Calibri"/>
        <family val="2"/>
        <scheme val="minor"/>
      </rPr>
      <t xml:space="preserve"> of the issue *required. Until filled, navigation blocked onPress
- Navigates to ?????????????
5. Add </t>
    </r>
    <r>
      <rPr>
        <b/>
        <sz val="11"/>
        <color theme="1"/>
        <rFont val="Calibri"/>
        <family val="2"/>
        <scheme val="minor"/>
      </rPr>
      <t xml:space="preserve">Ignore Issue, Go Back </t>
    </r>
    <r>
      <rPr>
        <sz val="11"/>
        <color theme="1"/>
        <rFont val="Calibri"/>
        <family val="2"/>
        <scheme val="minor"/>
      </rPr>
      <t>primary button
- Navigates to ?????????????</t>
    </r>
  </si>
  <si>
    <r>
      <t xml:space="preserve">Create </t>
    </r>
    <r>
      <rPr>
        <b/>
        <sz val="11"/>
        <color theme="1"/>
        <rFont val="Calibri"/>
        <family val="2"/>
        <scheme val="minor"/>
      </rPr>
      <t>RenterE-BikeReturn</t>
    </r>
    <r>
      <rPr>
        <sz val="11"/>
        <color theme="1"/>
        <rFont val="Calibri"/>
        <family val="2"/>
        <scheme val="minor"/>
      </rPr>
      <t xml:space="preserve"> screen:
1. Add heading: </t>
    </r>
    <r>
      <rPr>
        <b/>
        <sz val="11"/>
        <color theme="1"/>
        <rFont val="Calibri"/>
        <family val="2"/>
        <scheme val="minor"/>
      </rPr>
      <t>Return E-Bike</t>
    </r>
    <r>
      <rPr>
        <sz val="11"/>
        <color theme="1"/>
        <rFont val="Calibri"/>
        <family val="2"/>
        <scheme val="minor"/>
      </rPr>
      <t xml:space="preserve">
2. Add </t>
    </r>
    <r>
      <rPr>
        <b/>
        <sz val="11"/>
        <color theme="1"/>
        <rFont val="Calibri"/>
        <family val="2"/>
        <scheme val="minor"/>
      </rPr>
      <t>Upload an image at return</t>
    </r>
    <r>
      <rPr>
        <sz val="11"/>
        <color theme="1"/>
        <rFont val="Calibri"/>
        <family val="2"/>
        <scheme val="minor"/>
      </rPr>
      <t xml:space="preserve"> camera upload
3. Add </t>
    </r>
    <r>
      <rPr>
        <b/>
        <sz val="11"/>
        <color theme="1"/>
        <rFont val="Calibri"/>
        <family val="2"/>
        <scheme val="minor"/>
      </rPr>
      <t>Rate your experience</t>
    </r>
    <r>
      <rPr>
        <sz val="11"/>
        <color theme="1"/>
        <rFont val="Calibri"/>
        <family val="2"/>
        <scheme val="minor"/>
      </rPr>
      <t xml:space="preserve"> section
- Pressable 5 stars (only </t>
    </r>
    <r>
      <rPr>
        <b/>
        <sz val="11"/>
        <color theme="1"/>
        <rFont val="Calibri"/>
        <family val="2"/>
        <scheme val="minor"/>
      </rPr>
      <t>Colors.primary</t>
    </r>
    <r>
      <rPr>
        <sz val="11"/>
        <color theme="1"/>
        <rFont val="Calibri"/>
        <family val="2"/>
        <scheme val="minor"/>
      </rPr>
      <t xml:space="preserve"> outlines) for rating submission
- Add logic to show 5 </t>
    </r>
    <r>
      <rPr>
        <b/>
        <sz val="11"/>
        <color theme="1"/>
        <rFont val="Calibri"/>
        <family val="2"/>
        <scheme val="minor"/>
      </rPr>
      <t>Colors.primary</t>
    </r>
    <r>
      <rPr>
        <sz val="11"/>
        <color theme="1"/>
        <rFont val="Calibri"/>
        <family val="2"/>
        <scheme val="minor"/>
      </rPr>
      <t xml:space="preserve"> filled stars, if 5th star is pressed. 4 filled stars if 4 are pressed...and so on.
4. Add </t>
    </r>
    <r>
      <rPr>
        <b/>
        <sz val="11"/>
        <color theme="1"/>
        <rFont val="Calibri"/>
        <family val="2"/>
        <scheme val="minor"/>
      </rPr>
      <t xml:space="preserve">Leave a comment </t>
    </r>
    <r>
      <rPr>
        <sz val="11"/>
        <color theme="1"/>
        <rFont val="Calibri"/>
        <family val="2"/>
        <scheme val="minor"/>
      </rPr>
      <t xml:space="preserve">section
-  Add a TextField that accepts 500 characters.
5. Add </t>
    </r>
    <r>
      <rPr>
        <b/>
        <sz val="11"/>
        <color theme="1"/>
        <rFont val="Calibri"/>
        <family val="2"/>
        <scheme val="minor"/>
      </rPr>
      <t xml:space="preserve">Return </t>
    </r>
    <r>
      <rPr>
        <sz val="11"/>
        <color theme="1"/>
        <rFont val="Calibri"/>
        <family val="2"/>
        <scheme val="minor"/>
      </rPr>
      <t xml:space="preserve">primary button
- Lock until an image is uploaded.
- onPress navigates to </t>
    </r>
    <r>
      <rPr>
        <b/>
        <sz val="11"/>
        <color theme="1"/>
        <rFont val="Calibri"/>
        <family val="2"/>
        <scheme val="minor"/>
      </rPr>
      <t>RenterBookedBikesList</t>
    </r>
    <r>
      <rPr>
        <sz val="11"/>
        <color theme="1"/>
        <rFont val="Calibri"/>
        <family val="2"/>
        <scheme val="minor"/>
      </rPr>
      <t xml:space="preserve"> screen.
- Returned bike gets discarded from the list of cards</t>
    </r>
  </si>
  <si>
    <r>
      <t xml:space="preserve">Create </t>
    </r>
    <r>
      <rPr>
        <b/>
        <sz val="11"/>
        <color theme="1"/>
        <rFont val="Calibri"/>
        <family val="2"/>
        <scheme val="minor"/>
      </rPr>
      <t>POST /api/bookings/{id}/return-completion</t>
    </r>
    <r>
      <rPr>
        <sz val="11"/>
        <color theme="1"/>
        <rFont val="Calibri"/>
        <family val="2"/>
        <scheme val="minor"/>
      </rPr>
      <t xml:space="preserve"> Endpoint
1. Type: Multipart/Form-Data.
2. Input:</t>
    </r>
    <r>
      <rPr>
        <b/>
        <sz val="11"/>
        <color theme="1"/>
        <rFont val="Calibri"/>
        <family val="2"/>
        <scheme val="minor"/>
      </rPr>
      <t xml:space="preserve"> returnImage, rating</t>
    </r>
    <r>
      <rPr>
        <sz val="11"/>
        <color theme="1"/>
        <rFont val="Calibri"/>
        <family val="2"/>
        <scheme val="minor"/>
      </rPr>
      <t xml:space="preserve"> (1-5), </t>
    </r>
    <r>
      <rPr>
        <b/>
        <sz val="11"/>
        <color theme="1"/>
        <rFont val="Calibri"/>
        <family val="2"/>
        <scheme val="minor"/>
      </rPr>
      <t>reviewComment</t>
    </r>
    <r>
      <rPr>
        <sz val="11"/>
        <color theme="1"/>
        <rFont val="Calibri"/>
        <family val="2"/>
        <scheme val="minor"/>
      </rPr>
      <t xml:space="preserve">.
3. Logic:
- Upload return proof image.
- Update booking status to </t>
    </r>
    <r>
      <rPr>
        <b/>
        <sz val="11"/>
        <color theme="1"/>
        <rFont val="Calibri"/>
        <family val="2"/>
        <scheme val="minor"/>
      </rPr>
      <t>COMPLETED</t>
    </r>
    <r>
      <rPr>
        <sz val="11"/>
        <color theme="1"/>
        <rFont val="Calibri"/>
        <family val="2"/>
        <scheme val="minor"/>
      </rPr>
      <t>.
- Update Bike owner's aggregate rating.
- Trigger "Successfully Returned!" notification to Owner.</t>
    </r>
  </si>
  <si>
    <r>
      <t xml:space="preserve">1. </t>
    </r>
    <r>
      <rPr>
        <b/>
        <sz val="11"/>
        <color theme="1"/>
        <rFont val="Calibri"/>
        <family val="2"/>
        <scheme val="minor"/>
      </rPr>
      <t>GET /api/bookings/{id}/cancellation-quote</t>
    </r>
    <r>
      <rPr>
        <sz val="11"/>
        <color theme="1"/>
        <rFont val="Calibri"/>
        <family val="2"/>
        <scheme val="minor"/>
      </rPr>
      <t xml:space="preserve">: Verify math accuracy for refund amounts.
2. </t>
    </r>
    <r>
      <rPr>
        <b/>
        <sz val="11"/>
        <color theme="1"/>
        <rFont val="Calibri"/>
        <family val="2"/>
        <scheme val="minor"/>
      </rPr>
      <t>POST /api/bookings/{id}/issues</t>
    </r>
    <r>
      <rPr>
        <sz val="11"/>
        <color theme="1"/>
        <rFont val="Calibri"/>
        <family val="2"/>
        <scheme val="minor"/>
      </rPr>
      <t>: Verify Multipart/Form-Data handles image upload correctly.</t>
    </r>
  </si>
  <si>
    <r>
      <t xml:space="preserve">1. </t>
    </r>
    <r>
      <rPr>
        <b/>
        <sz val="11"/>
        <color theme="1"/>
        <rFont val="Calibri"/>
        <family val="2"/>
        <scheme val="minor"/>
      </rPr>
      <t>POST /api/bookings/{id}/return-completion</t>
    </r>
    <r>
      <rPr>
        <sz val="11"/>
        <color theme="1"/>
        <rFont val="Calibri"/>
        <family val="2"/>
        <scheme val="minor"/>
      </rPr>
      <t xml:space="preserve">: Verify booking status updates to </t>
    </r>
    <r>
      <rPr>
        <b/>
        <sz val="11"/>
        <color theme="1"/>
        <rFont val="Calibri"/>
        <family val="2"/>
        <scheme val="minor"/>
      </rPr>
      <t>COMPLETED</t>
    </r>
    <r>
      <rPr>
        <sz val="11"/>
        <color theme="1"/>
        <rFont val="Calibri"/>
        <family val="2"/>
        <scheme val="minor"/>
      </rPr>
      <t xml:space="preserve">.
2. </t>
    </r>
    <r>
      <rPr>
        <b/>
        <sz val="11"/>
        <color theme="1"/>
        <rFont val="Calibri"/>
        <family val="2"/>
        <scheme val="minor"/>
      </rPr>
      <t>POST /api/incidents</t>
    </r>
    <r>
      <rPr>
        <sz val="11"/>
        <color theme="1"/>
        <rFont val="Calibri"/>
        <family val="2"/>
        <scheme val="minor"/>
      </rPr>
      <t>: Verify mid-ride incident reporting triggers alerts (check logs/mock email).</t>
    </r>
  </si>
  <si>
    <r>
      <t xml:space="preserve">1. Verify heading "Welcome username" (pick username from database) renders
2. verify subheading "Book an E-Bike" renders
3. Verify </t>
    </r>
    <r>
      <rPr>
        <b/>
        <sz val="11"/>
        <color theme="1"/>
        <rFont val="Calibri"/>
        <family val="2"/>
        <scheme val="minor"/>
      </rPr>
      <t>From</t>
    </r>
    <r>
      <rPr>
        <sz val="11"/>
        <color theme="1"/>
        <rFont val="Calibri"/>
        <family val="2"/>
        <scheme val="minor"/>
      </rPr>
      <t xml:space="preserve"> and </t>
    </r>
    <r>
      <rPr>
        <b/>
        <sz val="11"/>
        <color theme="1"/>
        <rFont val="Calibri"/>
        <family val="2"/>
        <scheme val="minor"/>
      </rPr>
      <t>To</t>
    </r>
    <r>
      <rPr>
        <sz val="11"/>
        <color theme="1"/>
        <rFont val="Calibri"/>
        <family val="2"/>
        <scheme val="minor"/>
      </rPr>
      <t xml:space="preserve"> datePickers render
4. Verify </t>
    </r>
    <r>
      <rPr>
        <b/>
        <sz val="11"/>
        <color theme="1"/>
        <rFont val="Calibri"/>
        <family val="2"/>
        <scheme val="minor"/>
      </rPr>
      <t>Price range</t>
    </r>
    <r>
      <rPr>
        <sz val="11"/>
        <color theme="1"/>
        <rFont val="Calibri"/>
        <family val="2"/>
        <scheme val="minor"/>
      </rPr>
      <t xml:space="preserve"> (per week) section label renders
- </t>
    </r>
    <r>
      <rPr>
        <b/>
        <sz val="11"/>
        <color theme="1"/>
        <rFont val="Calibri"/>
        <family val="2"/>
        <scheme val="minor"/>
      </rPr>
      <t>priceSlider</t>
    </r>
    <r>
      <rPr>
        <sz val="11"/>
        <color theme="1"/>
        <rFont val="Calibri"/>
        <family val="2"/>
        <scheme val="minor"/>
      </rPr>
      <t xml:space="preserve"> component renders in the section
5. Verify </t>
    </r>
    <r>
      <rPr>
        <b/>
        <sz val="11"/>
        <color theme="1"/>
        <rFont val="Calibri"/>
        <family val="2"/>
        <scheme val="minor"/>
      </rPr>
      <t>Category</t>
    </r>
    <r>
      <rPr>
        <sz val="11"/>
        <color theme="1"/>
        <rFont val="Calibri"/>
        <family val="2"/>
        <scheme val="minor"/>
      </rPr>
      <t xml:space="preserve"> section label renders
- </t>
    </r>
    <r>
      <rPr>
        <b/>
        <sz val="11"/>
        <color theme="1"/>
        <rFont val="Calibri"/>
        <family val="2"/>
        <scheme val="minor"/>
      </rPr>
      <t>dropDown</t>
    </r>
    <r>
      <rPr>
        <sz val="11"/>
        <color theme="1"/>
        <rFont val="Calibri"/>
        <family val="2"/>
        <scheme val="minor"/>
      </rPr>
      <t xml:space="preserve"> component renders
6. Verify </t>
    </r>
    <r>
      <rPr>
        <b/>
        <sz val="11"/>
        <color theme="1"/>
        <rFont val="Calibri"/>
        <family val="2"/>
        <scheme val="minor"/>
      </rPr>
      <t>Pickup Location</t>
    </r>
    <r>
      <rPr>
        <sz val="11"/>
        <color theme="1"/>
        <rFont val="Calibri"/>
        <family val="2"/>
        <scheme val="minor"/>
      </rPr>
      <t xml:space="preserve"> section label renders
- </t>
    </r>
    <r>
      <rPr>
        <b/>
        <sz val="11"/>
        <color theme="1"/>
        <rFont val="Calibri"/>
        <family val="2"/>
        <scheme val="minor"/>
      </rPr>
      <t>locationPicker</t>
    </r>
    <r>
      <rPr>
        <sz val="11"/>
        <color theme="1"/>
        <rFont val="Calibri"/>
        <family val="2"/>
        <scheme val="minor"/>
      </rPr>
      <t xml:space="preserve"> component renders
7. Verify </t>
    </r>
    <r>
      <rPr>
        <b/>
        <sz val="11"/>
        <color theme="1"/>
        <rFont val="Calibri"/>
        <family val="2"/>
        <scheme val="minor"/>
      </rPr>
      <t>Continue</t>
    </r>
    <r>
      <rPr>
        <sz val="11"/>
        <color theme="1"/>
        <rFont val="Calibri"/>
        <family val="2"/>
        <scheme val="minor"/>
      </rPr>
      <t xml:space="preserve"> button renders with primary styling (button backgroundColor = Colors.primary)
8. Verify </t>
    </r>
    <r>
      <rPr>
        <b/>
        <sz val="11"/>
        <color theme="1"/>
        <rFont val="Calibri"/>
        <family val="2"/>
        <scheme val="minor"/>
      </rPr>
      <t>Visit My Bookings</t>
    </r>
    <r>
      <rPr>
        <sz val="11"/>
        <color theme="1"/>
        <rFont val="Calibri"/>
        <family val="2"/>
        <scheme val="minor"/>
      </rPr>
      <t xml:space="preserve"> button renders with secondary styling (button label color = Colors.white)</t>
    </r>
  </si>
  <si>
    <r>
      <rPr>
        <b/>
        <sz val="11"/>
        <color rgb="FFC00000"/>
        <rFont val="Calibri"/>
        <family val="2"/>
        <scheme val="minor"/>
      </rPr>
      <t>MANUAL/E2E:</t>
    </r>
    <r>
      <rPr>
        <b/>
        <sz val="11"/>
        <color theme="1"/>
        <rFont val="Calibri"/>
        <family val="2"/>
        <scheme val="minor"/>
      </rPr>
      <t xml:space="preserve">
</t>
    </r>
    <r>
      <rPr>
        <sz val="11"/>
        <color theme="1"/>
        <rFont val="Calibri"/>
        <family val="2"/>
        <scheme val="minor"/>
      </rPr>
      <t>1. Verify "</t>
    </r>
    <r>
      <rPr>
        <b/>
        <sz val="11"/>
        <color theme="1"/>
        <rFont val="Calibri"/>
        <family val="2"/>
        <scheme val="minor"/>
      </rPr>
      <t>From</t>
    </r>
    <r>
      <rPr>
        <sz val="11"/>
        <color theme="1"/>
        <rFont val="Calibri"/>
        <family val="2"/>
        <scheme val="minor"/>
      </rPr>
      <t>" picker disables all past dates.
2. Verify "</t>
    </r>
    <r>
      <rPr>
        <b/>
        <sz val="11"/>
        <color theme="1"/>
        <rFont val="Calibri"/>
        <family val="2"/>
        <scheme val="minor"/>
      </rPr>
      <t>To</t>
    </r>
    <r>
      <rPr>
        <sz val="11"/>
        <color theme="1"/>
        <rFont val="Calibri"/>
        <family val="2"/>
        <scheme val="minor"/>
      </rPr>
      <t>" picker prevents selection of any date earlier than the "From Date".
3. Verify Price Range slider updates min/max labels in real-time.
4. Verify Category dropdown lists all valid enum values (e.g., Mountain, City, Hybrid).
5. Verify "</t>
    </r>
    <r>
      <rPr>
        <b/>
        <sz val="11"/>
        <color theme="1"/>
        <rFont val="Calibri"/>
        <family val="2"/>
        <scheme val="minor"/>
      </rPr>
      <t>Continue</t>
    </r>
    <r>
      <rPr>
        <sz val="11"/>
        <color theme="1"/>
        <rFont val="Calibri"/>
        <family val="2"/>
        <scheme val="minor"/>
      </rPr>
      <t>" button is disabled if mandatory fields (Location, Dates) are empty (if applicable).
6. Verify clicking "</t>
    </r>
    <r>
      <rPr>
        <b/>
        <sz val="11"/>
        <color theme="1"/>
        <rFont val="Calibri"/>
        <family val="2"/>
        <scheme val="minor"/>
      </rPr>
      <t>Continue</t>
    </r>
    <r>
      <rPr>
        <sz val="11"/>
        <color theme="1"/>
        <rFont val="Calibri"/>
        <family val="2"/>
        <scheme val="minor"/>
      </rPr>
      <t>" navigates to RenterE-BikeBooking-BikeDetails.
7. Verify clicking "</t>
    </r>
    <r>
      <rPr>
        <b/>
        <sz val="11"/>
        <color theme="1"/>
        <rFont val="Calibri"/>
        <family val="2"/>
        <scheme val="minor"/>
      </rPr>
      <t>Visit My Bookings</t>
    </r>
    <r>
      <rPr>
        <sz val="11"/>
        <color theme="1"/>
        <rFont val="Calibri"/>
        <family val="2"/>
        <scheme val="minor"/>
      </rPr>
      <t>" navigates to RenterBookedBikesList.</t>
    </r>
  </si>
  <si>
    <r>
      <rPr>
        <b/>
        <sz val="11"/>
        <color rgb="FFC00000"/>
        <rFont val="Calibri"/>
        <family val="2"/>
        <scheme val="minor"/>
      </rPr>
      <t>MANUAL/E2E:</t>
    </r>
    <r>
      <rPr>
        <sz val="11"/>
        <color theme="1"/>
        <rFont val="Calibri"/>
        <family val="2"/>
        <scheme val="minor"/>
      </rPr>
      <t xml:space="preserve">
1. Verify the app persists filter state (dates, location) when navigating away and back.
2. Verify search results are sorted by Price (Ascending).
3. Verify the cheapest bike is identified correctly from the dataset.
4. Edge Case: Verify "No E-Bikes found! Consider increasing your budget" message appears when filters return 0 results.</t>
    </r>
  </si>
  <si>
    <r>
      <rPr>
        <b/>
        <sz val="11"/>
        <color rgb="FFC00000"/>
        <rFont val="Calibri"/>
        <family val="2"/>
        <scheme val="minor"/>
      </rPr>
      <t>MANUAL/E2E:</t>
    </r>
    <r>
      <rPr>
        <sz val="11"/>
        <color theme="1"/>
        <rFont val="Calibri"/>
        <family val="2"/>
        <scheme val="minor"/>
      </rPr>
      <t xml:space="preserve">
1. Verify the "Cheapest E-Bike" is rendered in the main highlighted card.
2. Verify "</t>
    </r>
    <r>
      <rPr>
        <b/>
        <sz val="11"/>
        <color theme="1"/>
        <rFont val="Calibri"/>
        <family val="2"/>
        <scheme val="minor"/>
      </rPr>
      <t>Book This E-Bike</t>
    </r>
    <r>
      <rPr>
        <sz val="11"/>
        <color theme="1"/>
        <rFont val="Calibri"/>
        <family val="2"/>
        <scheme val="minor"/>
      </rPr>
      <t>" button is linked specifically to the highlighted bike ID.
3. Verify "Similar E-Bikes" list renders vertically and is scrollable.
4. Verify clicking any of the "Similar E-Bike" card navigates to its details.
5. Verify "Similar E-Bikes" E-Bikes thumbnails are circular.
6. Verify the selected E-Bike card image occupies 100% width.
7. Verify the rating section has exactly 85% opacity as per requirements.</t>
    </r>
  </si>
  <si>
    <r>
      <rPr>
        <b/>
        <sz val="11"/>
        <color rgb="FFC00000"/>
        <rFont val="Calibri"/>
        <family val="2"/>
        <scheme val="minor"/>
      </rPr>
      <t>MANUAL/E2E:</t>
    </r>
    <r>
      <rPr>
        <sz val="11"/>
        <color theme="1"/>
        <rFont val="Calibri"/>
        <family val="2"/>
        <scheme val="minor"/>
      </rPr>
      <t xml:space="preserve">
1. Verify "</t>
    </r>
    <r>
      <rPr>
        <b/>
        <sz val="11"/>
        <color theme="1"/>
        <rFont val="Calibri"/>
        <family val="2"/>
        <scheme val="minor"/>
      </rPr>
      <t>Book</t>
    </r>
    <r>
      <rPr>
        <sz val="11"/>
        <color theme="1"/>
        <rFont val="Calibri"/>
        <family val="2"/>
        <scheme val="minor"/>
      </rPr>
      <t>" button on Confirmation screen is disabled by default.
2. Verify "Book" button becomes enabled only when "Purchase mandatory Insurance" checkbox is checked.
3. Verify the main card image occupies 100% width.
4. Verify the rating section has exactly 85% opacity as per requirements.</t>
    </r>
  </si>
  <si>
    <r>
      <t xml:space="preserve">Create </t>
    </r>
    <r>
      <rPr>
        <b/>
        <sz val="11"/>
        <color theme="1"/>
        <rFont val="Calibri"/>
        <family val="2"/>
        <scheme val="minor"/>
      </rPr>
      <t>RenterE-BikeBookingConfirmation</t>
    </r>
    <r>
      <rPr>
        <sz val="11"/>
        <color theme="1"/>
        <rFont val="Calibri"/>
        <family val="2"/>
        <scheme val="minor"/>
      </rPr>
      <t xml:space="preserve"> screen component/layout:
1. Render the selected E-Bike's 
- enlarged image as the card's background image (occupying 100% of the card)
- name, rating with (no. of ratings) in the lowest sub-section of the card with 85% opacity.
2.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 range of booking</t>
    </r>
    <r>
      <rPr>
        <sz val="11"/>
        <color theme="1"/>
        <rFont val="Calibri"/>
        <family val="2"/>
        <scheme val="minor"/>
      </rPr>
      <t xml:space="preserve"> (From-To) of the cheapest e-bike under the card
3.</t>
    </r>
    <r>
      <rPr>
        <b/>
        <sz val="11"/>
        <color theme="1"/>
        <rFont val="Calibri"/>
        <family val="2"/>
        <scheme val="minor"/>
      </rPr>
      <t xml:space="preserve"> </t>
    </r>
    <r>
      <rPr>
        <b/>
        <u/>
        <sz val="11"/>
        <color theme="1"/>
        <rFont val="Calibri"/>
        <family val="2"/>
        <scheme val="minor"/>
      </rPr>
      <t>View Owner's Profile</t>
    </r>
    <r>
      <rPr>
        <b/>
        <sz val="11"/>
        <color theme="1"/>
        <rFont val="Calibri"/>
        <family val="2"/>
        <scheme val="minor"/>
      </rPr>
      <t xml:space="preserve"> </t>
    </r>
    <r>
      <rPr>
        <sz val="11"/>
        <color theme="1"/>
        <rFont val="Calibri"/>
        <family val="2"/>
        <scheme val="minor"/>
      </rPr>
      <t xml:space="preserve">clickable hyperlink
4. </t>
    </r>
    <r>
      <rPr>
        <b/>
        <sz val="11"/>
        <color theme="1"/>
        <rFont val="Calibri"/>
        <family val="2"/>
        <scheme val="minor"/>
      </rPr>
      <t>Insurance Requirements</t>
    </r>
    <r>
      <rPr>
        <sz val="11"/>
        <color theme="1"/>
        <rFont val="Calibri"/>
        <family val="2"/>
        <scheme val="minor"/>
      </rPr>
      <t xml:space="preserve"> section with 2-3 lines of the document, ending with </t>
    </r>
    <r>
      <rPr>
        <u/>
        <sz val="11"/>
        <color theme="1"/>
        <rFont val="Calibri"/>
        <family val="2"/>
        <scheme val="minor"/>
      </rPr>
      <t>Learn More</t>
    </r>
    <r>
      <rPr>
        <sz val="11"/>
        <color theme="1"/>
        <rFont val="Calibri"/>
        <family val="2"/>
        <scheme val="minor"/>
      </rPr>
      <t xml:space="preserve"> hyperlink
5. A checkbox with "Purchase mandatory </t>
    </r>
    <r>
      <rPr>
        <b/>
        <u/>
        <sz val="11"/>
        <color theme="1"/>
        <rFont val="Calibri"/>
        <family val="2"/>
        <scheme val="minor"/>
      </rPr>
      <t>Insurance</t>
    </r>
    <r>
      <rPr>
        <sz val="11"/>
        <color theme="1"/>
        <rFont val="Calibri"/>
        <family val="2"/>
        <scheme val="minor"/>
      </rPr>
      <t xml:space="preserve">" (Insurance is hyperlink)
6. A primary button </t>
    </r>
    <r>
      <rPr>
        <b/>
        <sz val="11"/>
        <color theme="1"/>
        <rFont val="Calibri"/>
        <family val="2"/>
        <scheme val="minor"/>
      </rPr>
      <t>Book</t>
    </r>
  </si>
  <si>
    <r>
      <rPr>
        <b/>
        <sz val="11"/>
        <color rgb="FFC00000"/>
        <rFont val="Calibri"/>
        <family val="2"/>
        <scheme val="minor"/>
      </rPr>
      <t xml:space="preserve">MANUAL/E2E:
</t>
    </r>
    <r>
      <rPr>
        <sz val="11"/>
        <color theme="1"/>
        <rFont val="Calibri"/>
        <family val="2"/>
        <scheme val="minor"/>
      </rPr>
      <t xml:space="preserve">
1. Verify "Insurance Details" page renders the full policy document in a scrollable view.
2. Verify "</t>
    </r>
    <r>
      <rPr>
        <b/>
        <sz val="11"/>
        <color theme="1"/>
        <rFont val="Calibri"/>
        <family val="2"/>
        <scheme val="minor"/>
      </rPr>
      <t>Ok</t>
    </r>
    <r>
      <rPr>
        <sz val="11"/>
        <color theme="1"/>
        <rFont val="Calibri"/>
        <family val="2"/>
        <scheme val="minor"/>
      </rPr>
      <t xml:space="preserve">" button on Insurance screen navigates back to </t>
    </r>
    <r>
      <rPr>
        <b/>
        <sz val="11"/>
        <color theme="1"/>
        <rFont val="Calibri"/>
        <family val="2"/>
        <scheme val="minor"/>
      </rPr>
      <t>RenterE-BikeBookingConfirmation</t>
    </r>
    <r>
      <rPr>
        <sz val="11"/>
        <color theme="1"/>
        <rFont val="Calibri"/>
        <family val="2"/>
        <scheme val="minor"/>
      </rPr>
      <t>.</t>
    </r>
  </si>
  <si>
    <r>
      <rPr>
        <b/>
        <sz val="11"/>
        <color rgb="FFC00000"/>
        <rFont val="Calibri"/>
        <family val="2"/>
        <scheme val="minor"/>
      </rPr>
      <t>MANUAL/E2E:</t>
    </r>
    <r>
      <rPr>
        <sz val="11"/>
        <color theme="1"/>
        <rFont val="Calibri"/>
        <family val="2"/>
        <scheme val="minor"/>
      </rPr>
      <t xml:space="preserve">
1. Verify Owner Name, Avatar, Bio and Rating load correctly from the API.
2. Verify "Community Activities" hyperlink opens the screen (mock).
3. . Verify "</t>
    </r>
    <r>
      <rPr>
        <b/>
        <sz val="11"/>
        <color theme="1"/>
        <rFont val="Calibri"/>
        <family val="2"/>
        <scheme val="minor"/>
      </rPr>
      <t>Ok</t>
    </r>
    <r>
      <rPr>
        <sz val="11"/>
        <color theme="1"/>
        <rFont val="Calibri"/>
        <family val="2"/>
        <scheme val="minor"/>
      </rPr>
      <t xml:space="preserve">" button on Owner screen navigates back to </t>
    </r>
    <r>
      <rPr>
        <b/>
        <sz val="11"/>
        <color theme="1"/>
        <rFont val="Calibri"/>
        <family val="2"/>
        <scheme val="minor"/>
      </rPr>
      <t>RenterE-BikeBookingConfirmation</t>
    </r>
    <r>
      <rPr>
        <sz val="11"/>
        <color theme="1"/>
        <rFont val="Calibri"/>
        <family val="2"/>
        <scheme val="minor"/>
      </rPr>
      <t>.</t>
    </r>
  </si>
  <si>
    <r>
      <t xml:space="preserve">1. Verify heading "Firstname Lastname" renders
2. Verify avatar renders
3. Verify bio renders 
- text length &lt; 200 characters
4. Verify rating component renders
5. Verify </t>
    </r>
    <r>
      <rPr>
        <b/>
        <u/>
        <sz val="11"/>
        <color theme="1"/>
        <rFont val="Calibri"/>
        <family val="2"/>
        <scheme val="minor"/>
      </rPr>
      <t>Community Activities</t>
    </r>
    <r>
      <rPr>
        <sz val="11"/>
        <color theme="1"/>
        <rFont val="Calibri"/>
        <family val="2"/>
        <scheme val="minor"/>
      </rPr>
      <t xml:space="preserve"> hyperlink renders
6. Verify </t>
    </r>
    <r>
      <rPr>
        <b/>
        <sz val="11"/>
        <color theme="1"/>
        <rFont val="Calibri"/>
        <family val="2"/>
        <scheme val="minor"/>
      </rPr>
      <t>Ok</t>
    </r>
    <r>
      <rPr>
        <sz val="11"/>
        <color theme="1"/>
        <rFont val="Calibri"/>
        <family val="2"/>
        <scheme val="minor"/>
      </rPr>
      <t xml:space="preserve"> button renders with primary styling (button backgroundColor = Colors.primary)</t>
    </r>
  </si>
  <si>
    <r>
      <t>1. Verify heading "</t>
    </r>
    <r>
      <rPr>
        <b/>
        <sz val="11"/>
        <color theme="1"/>
        <rFont val="Calibri"/>
        <family val="2"/>
        <scheme val="minor"/>
      </rPr>
      <t>Insurance Details</t>
    </r>
    <r>
      <rPr>
        <sz val="11"/>
        <color theme="1"/>
        <rFont val="Calibri"/>
        <family val="2"/>
        <scheme val="minor"/>
      </rPr>
      <t xml:space="preserve">" renders
2. Verify </t>
    </r>
    <r>
      <rPr>
        <b/>
        <u/>
        <sz val="11"/>
        <color theme="1"/>
        <rFont val="Calibri"/>
        <family val="2"/>
        <scheme val="minor"/>
      </rPr>
      <t>Read more</t>
    </r>
    <r>
      <rPr>
        <sz val="11"/>
        <color theme="1"/>
        <rFont val="Calibri"/>
        <family val="2"/>
        <scheme val="minor"/>
      </rPr>
      <t xml:space="preserve"> hyperlink renders
3. Verify </t>
    </r>
    <r>
      <rPr>
        <b/>
        <sz val="11"/>
        <color theme="1"/>
        <rFont val="Calibri"/>
        <family val="2"/>
        <scheme val="minor"/>
      </rPr>
      <t>Ok</t>
    </r>
    <r>
      <rPr>
        <sz val="11"/>
        <color theme="1"/>
        <rFont val="Calibri"/>
        <family val="2"/>
        <scheme val="minor"/>
      </rPr>
      <t xml:space="preserve"> primary button renders</t>
    </r>
  </si>
  <si>
    <r>
      <t xml:space="preserve">1. Verify heading "Welcome username" (pick username from database) renders
2. verify subheading "Your Bookings" renders
3. Verify </t>
    </r>
    <r>
      <rPr>
        <b/>
        <sz val="11"/>
        <color theme="1"/>
        <rFont val="Calibri"/>
        <family val="2"/>
        <scheme val="minor"/>
      </rPr>
      <t>From</t>
    </r>
    <r>
      <rPr>
        <sz val="11"/>
        <color theme="1"/>
        <rFont val="Calibri"/>
        <family val="2"/>
        <scheme val="minor"/>
      </rPr>
      <t xml:space="preserve"> and </t>
    </r>
    <r>
      <rPr>
        <b/>
        <sz val="11"/>
        <color theme="1"/>
        <rFont val="Calibri"/>
        <family val="2"/>
        <scheme val="minor"/>
      </rPr>
      <t>To</t>
    </r>
    <r>
      <rPr>
        <sz val="11"/>
        <color theme="1"/>
        <rFont val="Calibri"/>
        <family val="2"/>
        <scheme val="minor"/>
      </rPr>
      <t xml:space="preserve"> datePickers render
4. Verify listCards component renders
5. Verify </t>
    </r>
    <r>
      <rPr>
        <b/>
        <sz val="11"/>
        <color theme="1"/>
        <rFont val="Calibri"/>
        <family val="2"/>
        <scheme val="minor"/>
      </rPr>
      <t>Book an E-Bike</t>
    </r>
    <r>
      <rPr>
        <sz val="11"/>
        <color theme="1"/>
        <rFont val="Calibri"/>
        <family val="2"/>
        <scheme val="minor"/>
      </rPr>
      <t xml:space="preserve"> button renders with primary styling (button backgroundColor = Colors.primary)</t>
    </r>
  </si>
  <si>
    <r>
      <rPr>
        <b/>
        <sz val="11"/>
        <color rgb="FFC00000"/>
        <rFont val="Calibri"/>
        <family val="2"/>
        <scheme val="minor"/>
      </rPr>
      <t xml:space="preserve">MANUAL/E2E:
</t>
    </r>
    <r>
      <rPr>
        <sz val="11"/>
        <color theme="1"/>
        <rFont val="Calibri"/>
        <family val="2"/>
        <scheme val="minor"/>
      </rPr>
      <t xml:space="preserve">Verify the alert renders on screen with message: "Purchase the insurance to continue.", if the </t>
    </r>
    <r>
      <rPr>
        <b/>
        <sz val="11"/>
        <color theme="1"/>
        <rFont val="Calibri"/>
        <family val="2"/>
        <scheme val="minor"/>
      </rPr>
      <t>Purchase mandatory insurance</t>
    </r>
    <r>
      <rPr>
        <sz val="11"/>
        <color theme="1"/>
        <rFont val="Calibri"/>
        <family val="2"/>
        <scheme val="minor"/>
      </rPr>
      <t xml:space="preserve"> checkbox is not checked and </t>
    </r>
    <r>
      <rPr>
        <b/>
        <sz val="11"/>
        <color theme="1"/>
        <rFont val="Calibri"/>
        <family val="2"/>
        <scheme val="minor"/>
      </rPr>
      <t>Book</t>
    </r>
    <r>
      <rPr>
        <sz val="11"/>
        <color theme="1"/>
        <rFont val="Calibri"/>
        <family val="2"/>
        <scheme val="minor"/>
      </rPr>
      <t xml:space="preserve"> button is pressed on </t>
    </r>
    <r>
      <rPr>
        <b/>
        <sz val="11"/>
        <color theme="1"/>
        <rFont val="Calibri"/>
        <family val="2"/>
        <scheme val="minor"/>
      </rPr>
      <t>RenterE-BikeBookingConfirmation</t>
    </r>
    <r>
      <rPr>
        <sz val="11"/>
        <color theme="1"/>
        <rFont val="Calibri"/>
        <family val="2"/>
        <scheme val="minor"/>
      </rPr>
      <t xml:space="preserve"> screen</t>
    </r>
  </si>
  <si>
    <r>
      <rPr>
        <b/>
        <sz val="11"/>
        <color rgb="FFC00000"/>
        <rFont val="Calibri"/>
        <family val="2"/>
        <scheme val="minor"/>
      </rPr>
      <t>MANUAL/E2E:</t>
    </r>
    <r>
      <rPr>
        <sz val="11"/>
        <color theme="1"/>
        <rFont val="Calibri"/>
        <family val="2"/>
        <scheme val="minor"/>
      </rPr>
      <t xml:space="preserve">
Verify clicking a booking card navigates to </t>
    </r>
    <r>
      <rPr>
        <b/>
        <sz val="11"/>
        <color theme="1"/>
        <rFont val="Calibri"/>
        <family val="2"/>
        <scheme val="minor"/>
      </rPr>
      <t>RenterBookedE-BikeOptions</t>
    </r>
    <r>
      <rPr>
        <sz val="11"/>
        <color theme="1"/>
        <rFont val="Calibri"/>
        <family val="2"/>
        <scheme val="minor"/>
      </rPr>
      <t xml:space="preserve"> screen</t>
    </r>
  </si>
  <si>
    <r>
      <rPr>
        <b/>
        <sz val="11"/>
        <color rgb="FFC00000"/>
        <rFont val="Calibri"/>
        <family val="2"/>
        <scheme val="minor"/>
      </rPr>
      <t>MANUAL/E2E:</t>
    </r>
    <r>
      <rPr>
        <sz val="11"/>
        <color theme="1"/>
        <rFont val="Calibri"/>
        <family val="2"/>
        <scheme val="minor"/>
      </rPr>
      <t xml:space="preserve">
Verify bookings list renders cards with correct metadata (Name, Date Range, E-Bike type, Price/wk, Pickup location).</t>
    </r>
  </si>
  <si>
    <r>
      <rPr>
        <b/>
        <sz val="11"/>
        <color rgb="FFC00000"/>
        <rFont val="Calibri"/>
        <family val="2"/>
        <scheme val="minor"/>
      </rPr>
      <t>MANUAL/E2E:</t>
    </r>
    <r>
      <rPr>
        <sz val="11"/>
        <color theme="1"/>
        <rFont val="Calibri"/>
        <family val="2"/>
        <scheme val="minor"/>
      </rPr>
      <t xml:space="preserve">
Verify "Book an E-Bike" button navigates to the Filter screen.</t>
    </r>
  </si>
  <si>
    <r>
      <rPr>
        <b/>
        <sz val="11"/>
        <color rgb="FFC00000"/>
        <rFont val="Calibri"/>
        <family val="2"/>
        <scheme val="minor"/>
      </rPr>
      <t>MANUAL/E2E:</t>
    </r>
    <r>
      <rPr>
        <sz val="11"/>
        <color theme="1"/>
        <rFont val="Calibri"/>
        <family val="2"/>
        <scheme val="minor"/>
      </rPr>
      <t xml:space="preserve">
Verify date filters on this screen validate that "To Date" &gt;= "From Date".</t>
    </r>
  </si>
  <si>
    <r>
      <rPr>
        <b/>
        <sz val="11"/>
        <color rgb="FFC00000"/>
        <rFont val="Calibri"/>
        <family val="2"/>
        <scheme val="minor"/>
      </rPr>
      <t>MANUAL/E2E:</t>
    </r>
    <r>
      <rPr>
        <sz val="11"/>
        <rFont val="Calibri"/>
        <family val="2"/>
        <scheme val="minor"/>
      </rPr>
      <t xml:space="preserve">
1. Verify cancellation calculation logic:
- 24h before: 100% refund.
- &lt;24h before: Penalty applied.
2. Verify "</t>
    </r>
    <r>
      <rPr>
        <b/>
        <sz val="11"/>
        <rFont val="Calibri"/>
        <family val="2"/>
        <scheme val="minor"/>
      </rPr>
      <t>Do Not Cancel, Go Back</t>
    </r>
    <r>
      <rPr>
        <sz val="11"/>
        <rFont val="Calibri"/>
        <family val="2"/>
        <scheme val="minor"/>
      </rPr>
      <t>" button navigates back without changes.</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</si>
  <si>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 (startDate) - To: (endDate)</t>
    </r>
    <r>
      <rPr>
        <sz val="11"/>
        <color theme="1"/>
        <rFont val="Calibri"/>
        <family val="2"/>
        <scheme val="minor"/>
      </rPr>
      <t xml:space="preserve"> renders
3. Verify </t>
    </r>
    <r>
      <rPr>
        <b/>
        <u/>
        <sz val="11"/>
        <color theme="1"/>
        <rFont val="Calibri"/>
        <family val="2"/>
        <scheme val="minor"/>
      </rPr>
      <t>View Owner's Profile</t>
    </r>
    <r>
      <rPr>
        <sz val="11"/>
        <color theme="1"/>
        <rFont val="Calibri"/>
        <family val="2"/>
        <scheme val="minor"/>
      </rPr>
      <t xml:space="preserve"> hyperlink renders
5. Verify </t>
    </r>
    <r>
      <rPr>
        <b/>
        <sz val="11"/>
        <color theme="1"/>
        <rFont val="Calibri"/>
        <family val="2"/>
        <scheme val="minor"/>
      </rPr>
      <t xml:space="preserve">Insurance Requirements </t>
    </r>
    <r>
      <rPr>
        <sz val="11"/>
        <color theme="1"/>
        <rFont val="Calibri"/>
        <family val="2"/>
        <scheme val="minor"/>
      </rPr>
      <t xml:space="preserve">section label renders
- Verify </t>
    </r>
    <r>
      <rPr>
        <b/>
        <u/>
        <sz val="11"/>
        <color theme="1"/>
        <rFont val="Calibri"/>
        <family val="2"/>
        <scheme val="minor"/>
      </rPr>
      <t>Learn more</t>
    </r>
    <r>
      <rPr>
        <sz val="11"/>
        <color theme="1"/>
        <rFont val="Calibri"/>
        <family val="2"/>
        <scheme val="minor"/>
      </rPr>
      <t xml:space="preserve"> hyperlink renders
6. Verify Checkbox component renders
- </t>
    </r>
    <r>
      <rPr>
        <b/>
        <u/>
        <sz val="11"/>
        <color theme="1"/>
        <rFont val="Calibri"/>
        <family val="2"/>
        <scheme val="minor"/>
      </rPr>
      <t>insurance</t>
    </r>
    <r>
      <rPr>
        <sz val="11"/>
        <color theme="1"/>
        <rFont val="Calibri"/>
        <family val="2"/>
        <scheme val="minor"/>
      </rPr>
      <t xml:space="preserve"> hyperlink renders
7. Verify </t>
    </r>
    <r>
      <rPr>
        <b/>
        <sz val="11"/>
        <color theme="1"/>
        <rFont val="Calibri"/>
        <family val="2"/>
        <scheme val="minor"/>
      </rPr>
      <t>Book</t>
    </r>
    <r>
      <rPr>
        <sz val="11"/>
        <color theme="1"/>
        <rFont val="Calibri"/>
        <family val="2"/>
        <scheme val="minor"/>
      </rPr>
      <t xml:space="preserve"> button renders with primary styling (button backgroundColor = Colors.primary)</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</si>
  <si>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 (startDate) - To: (endDate)</t>
    </r>
    <r>
      <rPr>
        <sz val="11"/>
        <color theme="1"/>
        <rFont val="Calibri"/>
        <family val="2"/>
        <scheme val="minor"/>
      </rPr>
      <t xml:space="preserve"> renders
3. Verify </t>
    </r>
    <r>
      <rPr>
        <b/>
        <sz val="11"/>
        <color theme="1"/>
        <rFont val="Calibri"/>
        <family val="2"/>
        <scheme val="minor"/>
      </rPr>
      <t>Book This E-Bike</t>
    </r>
    <r>
      <rPr>
        <sz val="11"/>
        <color theme="1"/>
        <rFont val="Calibri"/>
        <family val="2"/>
        <scheme val="minor"/>
      </rPr>
      <t xml:space="preserve"> button renders with primary style ((button backgroundColor = Colors.primary)
4. Verify </t>
    </r>
    <r>
      <rPr>
        <b/>
        <sz val="11"/>
        <color theme="1"/>
        <rFont val="Calibri"/>
        <family val="2"/>
        <scheme val="minor"/>
      </rPr>
      <t>Similar E-Bikes</t>
    </r>
    <r>
      <rPr>
        <sz val="11"/>
        <color theme="1"/>
        <rFont val="Calibri"/>
        <family val="2"/>
        <scheme val="minor"/>
      </rPr>
      <t xml:space="preserve"> subheading renders
5. Verify </t>
    </r>
    <r>
      <rPr>
        <b/>
        <sz val="11"/>
        <color theme="1"/>
        <rFont val="Calibri"/>
        <family val="2"/>
        <scheme val="minor"/>
      </rPr>
      <t>listCards</t>
    </r>
    <r>
      <rPr>
        <sz val="11"/>
        <color theme="1"/>
        <rFont val="Calibri"/>
        <family val="2"/>
        <scheme val="minor"/>
      </rPr>
      <t xml:space="preserve"> component renders
- Verify scrollability (Manual)</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</si>
  <si>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 (startDate) - To: (endDate)</t>
    </r>
    <r>
      <rPr>
        <sz val="11"/>
        <color theme="1"/>
        <rFont val="Calibri"/>
        <family val="2"/>
        <scheme val="minor"/>
      </rPr>
      <t xml:space="preserve"> renders
3. Verify </t>
    </r>
    <r>
      <rPr>
        <b/>
        <u/>
        <sz val="11"/>
        <color theme="1"/>
        <rFont val="Calibri"/>
        <family val="2"/>
        <scheme val="minor"/>
      </rPr>
      <t>View Owner's Profile</t>
    </r>
    <r>
      <rPr>
        <sz val="11"/>
        <color theme="1"/>
        <rFont val="Calibri"/>
        <family val="2"/>
        <scheme val="minor"/>
      </rPr>
      <t xml:space="preserve"> hyperlink renders
4. Verify </t>
    </r>
    <r>
      <rPr>
        <b/>
        <u/>
        <sz val="11"/>
        <color theme="1"/>
        <rFont val="Calibri"/>
        <family val="2"/>
        <scheme val="minor"/>
      </rPr>
      <t>Insurance Details</t>
    </r>
    <r>
      <rPr>
        <b/>
        <sz val="11"/>
        <color theme="1"/>
        <rFont val="Calibri"/>
        <family val="2"/>
        <scheme val="minor"/>
      </rPr>
      <t xml:space="preserve"> </t>
    </r>
    <r>
      <rPr>
        <sz val="11"/>
        <color theme="1"/>
        <rFont val="Calibri"/>
        <family val="2"/>
        <scheme val="minor"/>
      </rPr>
      <t xml:space="preserve">hyperlink renders
5. Verify </t>
    </r>
    <r>
      <rPr>
        <b/>
        <u/>
        <sz val="11"/>
        <color theme="1"/>
        <rFont val="Calibri"/>
        <family val="2"/>
        <scheme val="minor"/>
      </rPr>
      <t>Cancel Booking</t>
    </r>
    <r>
      <rPr>
        <sz val="11"/>
        <color theme="1"/>
        <rFont val="Calibri"/>
        <family val="2"/>
        <scheme val="minor"/>
      </rPr>
      <t xml:space="preserve"> hyperlink renders</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</si>
  <si>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Cancellation Charge</t>
    </r>
    <r>
      <rPr>
        <sz val="11"/>
        <color theme="1"/>
        <rFont val="Calibri"/>
        <family val="2"/>
        <scheme val="minor"/>
      </rPr>
      <t xml:space="preserve">, </t>
    </r>
    <r>
      <rPr>
        <b/>
        <sz val="11"/>
        <color theme="1"/>
        <rFont val="Calibri"/>
        <family val="2"/>
        <scheme val="minor"/>
      </rPr>
      <t xml:space="preserve">Return Amount </t>
    </r>
    <r>
      <rPr>
        <sz val="11"/>
        <color theme="1"/>
        <rFont val="Calibri"/>
        <family val="2"/>
        <scheme val="minor"/>
      </rPr>
      <t xml:space="preserve">sections render
3. Verify </t>
    </r>
    <r>
      <rPr>
        <b/>
        <sz val="11"/>
        <color theme="1"/>
        <rFont val="Calibri"/>
        <family val="2"/>
        <scheme val="minor"/>
      </rPr>
      <t>Cancellation Policy</t>
    </r>
    <r>
      <rPr>
        <sz val="11"/>
        <color theme="1"/>
        <rFont val="Calibri"/>
        <family val="2"/>
        <scheme val="minor"/>
      </rPr>
      <t xml:space="preserve"> section renders
- </t>
    </r>
    <r>
      <rPr>
        <b/>
        <u/>
        <sz val="11"/>
        <color theme="1"/>
        <rFont val="Calibri"/>
        <family val="2"/>
        <scheme val="minor"/>
      </rPr>
      <t>Read more</t>
    </r>
    <r>
      <rPr>
        <sz val="11"/>
        <color theme="1"/>
        <rFont val="Calibri"/>
        <family val="2"/>
        <scheme val="minor"/>
      </rPr>
      <t xml:space="preserve"> hyperlink renders
4. Verify </t>
    </r>
    <r>
      <rPr>
        <b/>
        <sz val="11"/>
        <color theme="1"/>
        <rFont val="Calibri"/>
        <family val="2"/>
        <scheme val="minor"/>
      </rPr>
      <t xml:space="preserve">Confirm </t>
    </r>
    <r>
      <rPr>
        <sz val="11"/>
        <color theme="1"/>
        <rFont val="Calibri"/>
        <family val="2"/>
        <scheme val="minor"/>
      </rPr>
      <t xml:space="preserve">button renders with secondary styling (button label color = Colors.white)
5. Verify </t>
    </r>
    <r>
      <rPr>
        <b/>
        <sz val="11"/>
        <color theme="1"/>
        <rFont val="Calibri"/>
        <family val="2"/>
        <scheme val="minor"/>
      </rPr>
      <t>Do Not cancel, Go Back</t>
    </r>
    <r>
      <rPr>
        <sz val="11"/>
        <color theme="1"/>
        <rFont val="Calibri"/>
        <family val="2"/>
        <scheme val="minor"/>
      </rPr>
      <t xml:space="preserve"> button renders with primary styling</t>
    </r>
    <r>
      <rPr>
        <sz val="11"/>
        <rFont val="Calibri"/>
        <family val="2"/>
        <scheme val="minor"/>
      </rPr>
      <t xml:space="preserve"> (button backgroundColor = Colors.primary)</t>
    </r>
  </si>
  <si>
    <r>
      <rPr>
        <b/>
        <sz val="11"/>
        <color rgb="FFC00000"/>
        <rFont val="Calibri"/>
        <family val="2"/>
        <scheme val="minor"/>
      </rPr>
      <t>MANUAL/E2E:</t>
    </r>
    <r>
      <rPr>
        <sz val="11"/>
        <color theme="1"/>
        <rFont val="Calibri"/>
        <family val="2"/>
        <scheme val="minor"/>
      </rPr>
      <t xml:space="preserve">
1. Verify "Raise Issue" screen allows image upload and text description.
2. Verify "Raise Issue + Cancel Booking" button triggers both cancellation and issue reporting flows.
3. Verify "Ignore Issue, Go Back" button navigates to </t>
    </r>
    <r>
      <rPr>
        <b/>
        <sz val="11"/>
        <color theme="1"/>
        <rFont val="Calibri"/>
        <family val="2"/>
        <scheme val="minor"/>
      </rPr>
      <t>RenterBookedE-BikeOptions</t>
    </r>
    <r>
      <rPr>
        <sz val="11"/>
        <color theme="1"/>
        <rFont val="Calibri"/>
        <family val="2"/>
        <scheme val="minor"/>
      </rPr>
      <t xml:space="preserve"> screen, wiith the bottom sheet open.</t>
    </r>
  </si>
  <si>
    <r>
      <t xml:space="preserve">1. Verify heading: "Raise Issue"
2. Verify cameraPicker component renders
3. Verify </t>
    </r>
    <r>
      <rPr>
        <b/>
        <sz val="11"/>
        <color theme="1"/>
        <rFont val="Calibri"/>
        <family val="2"/>
        <scheme val="minor"/>
      </rPr>
      <t>Describe the Issue</t>
    </r>
    <r>
      <rPr>
        <sz val="11"/>
        <color theme="1"/>
        <rFont val="Calibri"/>
        <family val="2"/>
        <scheme val="minor"/>
      </rPr>
      <t xml:space="preserve"> section renders
- textField renders with max 500 characters threshold
3. Verify </t>
    </r>
    <r>
      <rPr>
        <b/>
        <sz val="11"/>
        <color theme="1"/>
        <rFont val="Calibri"/>
        <family val="2"/>
        <scheme val="minor"/>
      </rPr>
      <t>Raise Issue + Cancel Booking</t>
    </r>
    <r>
      <rPr>
        <sz val="11"/>
        <color theme="1"/>
        <rFont val="Calibri"/>
        <family val="2"/>
        <scheme val="minor"/>
      </rPr>
      <t xml:space="preserve"> button renders with secondary styling (button label color = Colors.white)
4. Verify </t>
    </r>
    <r>
      <rPr>
        <b/>
        <sz val="11"/>
        <color theme="1"/>
        <rFont val="Calibri"/>
        <family val="2"/>
        <scheme val="minor"/>
      </rPr>
      <t xml:space="preserve">Ignore Issue, Go Back </t>
    </r>
    <r>
      <rPr>
        <sz val="11"/>
        <color theme="1"/>
        <rFont val="Calibri"/>
        <family val="2"/>
        <scheme val="minor"/>
      </rPr>
      <t>button renders with primary styling (button backgroundColor = Colors.primary)</t>
    </r>
  </si>
  <si>
    <r>
      <t xml:space="preserve">1. Verify heading: "Your E-Bike's Features to Check"
2. Verify </t>
    </r>
    <r>
      <rPr>
        <b/>
        <sz val="11"/>
        <color theme="1"/>
        <rFont val="Calibri"/>
        <family val="2"/>
        <scheme val="minor"/>
      </rPr>
      <t>eBikeFeaturesCheckList</t>
    </r>
    <r>
      <rPr>
        <sz val="11"/>
        <color theme="1"/>
        <rFont val="Calibri"/>
        <family val="2"/>
        <scheme val="minor"/>
      </rPr>
      <t xml:space="preserve"> bottomSheet component renders
3. Verify </t>
    </r>
    <r>
      <rPr>
        <b/>
        <sz val="11"/>
        <color theme="1"/>
        <rFont val="Calibri"/>
        <family val="2"/>
        <scheme val="minor"/>
      </rPr>
      <t>Raise Issue</t>
    </r>
    <r>
      <rPr>
        <sz val="11"/>
        <color theme="1"/>
        <rFont val="Calibri"/>
        <family val="2"/>
        <scheme val="minor"/>
      </rPr>
      <t xml:space="preserve"> button renders with primary styling (button backgroundColor = Colors.primary)</t>
    </r>
  </si>
  <si>
    <r>
      <t xml:space="preserve">On </t>
    </r>
    <r>
      <rPr>
        <b/>
        <sz val="11"/>
        <color theme="1"/>
        <rFont val="Calibri"/>
        <family val="2"/>
        <scheme val="minor"/>
      </rPr>
      <t xml:space="preserve">RenterBookedE-BikeOptions </t>
    </r>
    <r>
      <rPr>
        <sz val="11"/>
        <color theme="1"/>
        <rFont val="Calibri"/>
        <family val="2"/>
        <scheme val="minor"/>
      </rPr>
      <t>screen:
1. Verify checkBox component renders.
2. Verify "</t>
    </r>
    <r>
      <rPr>
        <b/>
        <u/>
        <sz val="11"/>
        <color theme="1"/>
        <rFont val="Calibri"/>
        <family val="2"/>
        <scheme val="minor"/>
      </rPr>
      <t>e-bike features</t>
    </r>
    <r>
      <rPr>
        <sz val="11"/>
        <color theme="1"/>
        <rFont val="Calibri"/>
        <family val="2"/>
        <scheme val="minor"/>
      </rPr>
      <t xml:space="preserve">" hyperlink renders
3. Verify </t>
    </r>
    <r>
      <rPr>
        <b/>
        <sz val="11"/>
        <color theme="1"/>
        <rFont val="Calibri"/>
        <family val="2"/>
        <scheme val="minor"/>
      </rPr>
      <t>Accept E-Bike</t>
    </r>
    <r>
      <rPr>
        <sz val="11"/>
        <color theme="1"/>
        <rFont val="Calibri"/>
        <family val="2"/>
        <scheme val="minor"/>
      </rPr>
      <t xml:space="preserve"> button renders with primary styling (button backgroundColor = Colors.primary)
3. onPress of </t>
    </r>
    <r>
      <rPr>
        <b/>
        <sz val="11"/>
        <color theme="1"/>
        <rFont val="Calibri"/>
        <family val="2"/>
        <scheme val="minor"/>
      </rPr>
      <t>Accept E-Bike</t>
    </r>
    <r>
      <rPr>
        <sz val="11"/>
        <color theme="1"/>
        <rFont val="Calibri"/>
        <family val="2"/>
        <scheme val="minor"/>
      </rPr>
      <t xml:space="preserve"> button calls </t>
    </r>
    <r>
      <rPr>
        <b/>
        <sz val="11"/>
        <color theme="1"/>
        <rFont val="Calibri"/>
        <family val="2"/>
        <scheme val="minor"/>
      </rPr>
      <t>eBikeFeaturesCheckList</t>
    </r>
    <r>
      <rPr>
        <sz val="11"/>
        <color theme="1"/>
        <rFont val="Calibri"/>
        <family val="2"/>
        <scheme val="minor"/>
      </rPr>
      <t xml:space="preserve"> bottomSheet component</t>
    </r>
  </si>
  <si>
    <r>
      <rPr>
        <b/>
        <sz val="11"/>
        <color rgb="FFC00000"/>
        <rFont val="Calibri"/>
        <family val="2"/>
        <scheme val="minor"/>
      </rPr>
      <t>MANUAL/E2E:</t>
    </r>
    <r>
      <rPr>
        <sz val="11"/>
        <rFont val="Calibri"/>
        <family val="2"/>
        <scheme val="minor"/>
      </rPr>
      <t xml:space="preserve">
1. Verify "</t>
    </r>
    <r>
      <rPr>
        <b/>
        <sz val="11"/>
        <rFont val="Calibri"/>
        <family val="2"/>
        <scheme val="minor"/>
      </rPr>
      <t>Accept E-Bike</t>
    </r>
    <r>
      <rPr>
        <sz val="11"/>
        <rFont val="Calibri"/>
        <family val="2"/>
        <scheme val="minor"/>
      </rPr>
      <t>" button is disabled until "I confirm all e-bike features..." is checked.
2. Verify "</t>
    </r>
    <r>
      <rPr>
        <b/>
        <u/>
        <sz val="11"/>
        <rFont val="Calibri"/>
        <family val="2"/>
        <scheme val="minor"/>
      </rPr>
      <t>Cancel Booking</t>
    </r>
    <r>
      <rPr>
        <sz val="11"/>
        <rFont val="Calibri"/>
        <family val="2"/>
        <scheme val="minor"/>
      </rPr>
      <t xml:space="preserve">" option is locked/disabled if the booking start date has arrived or passed.
3. Verify toggling off any feature in </t>
    </r>
    <r>
      <rPr>
        <b/>
        <sz val="11"/>
        <rFont val="Calibri"/>
        <family val="2"/>
        <scheme val="minor"/>
      </rPr>
      <t>RenterBookedE-BikeFeaturestoCheck</t>
    </r>
    <r>
      <rPr>
        <sz val="11"/>
        <rFont val="Calibri"/>
        <family val="2"/>
        <scheme val="minor"/>
      </rPr>
      <t xml:space="preserve"> bottom sheet enables the "</t>
    </r>
    <r>
      <rPr>
        <b/>
        <sz val="11"/>
        <rFont val="Calibri"/>
        <family val="2"/>
        <scheme val="minor"/>
      </rPr>
      <t>Raise Issue</t>
    </r>
    <r>
      <rPr>
        <sz val="11"/>
        <rFont val="Calibri"/>
        <family val="2"/>
        <scheme val="minor"/>
      </rPr>
      <t>" button.
4. Verify toggling on all features enables the normal flow to proceed.
5. Verify successful acceptance changes button from "</t>
    </r>
    <r>
      <rPr>
        <b/>
        <sz val="11"/>
        <rFont val="Calibri"/>
        <family val="2"/>
        <scheme val="minor"/>
      </rPr>
      <t>Accept E-Bike</t>
    </r>
    <r>
      <rPr>
        <sz val="11"/>
        <rFont val="Calibri"/>
        <family val="2"/>
        <scheme val="minor"/>
      </rPr>
      <t>" to "</t>
    </r>
    <r>
      <rPr>
        <b/>
        <sz val="11"/>
        <rFont val="Calibri"/>
        <family val="2"/>
        <scheme val="minor"/>
      </rPr>
      <t>Return E-Bike</t>
    </r>
    <r>
      <rPr>
        <sz val="11"/>
        <rFont val="Calibri"/>
        <family val="2"/>
        <scheme val="minor"/>
      </rPr>
      <t>".
6. Verify "</t>
    </r>
    <r>
      <rPr>
        <b/>
        <u/>
        <sz val="11"/>
        <rFont val="Calibri"/>
        <family val="2"/>
        <scheme val="minor"/>
      </rPr>
      <t>Report an Incident</t>
    </r>
    <r>
      <rPr>
        <sz val="11"/>
        <rFont val="Calibri"/>
        <family val="2"/>
        <scheme val="minor"/>
      </rPr>
      <t>" link appears only after acceptance.</t>
    </r>
  </si>
  <si>
    <r>
      <rPr>
        <b/>
        <sz val="11"/>
        <color rgb="FFC00000"/>
        <rFont val="Calibri"/>
        <family val="2"/>
        <scheme val="minor"/>
      </rPr>
      <t>MANUAL/E2E:</t>
    </r>
    <r>
      <rPr>
        <sz val="11"/>
        <color theme="1"/>
        <rFont val="Calibri"/>
        <family val="2"/>
        <scheme val="minor"/>
      </rPr>
      <t xml:space="preserve">
1. Verify clicking "Return E-Bike" on the end date navigates directly to Return screen.
2. Verify clicking "Return E-Bike" before end date triggers the "Premature Return" modal component.
3. Verify "Premature Return" modal: "Keep Riding" closes modal, "Return Anyway" proceeds.
4. Verify Star Rating logic: Selecting 4th star auto-fills stars 1, 2, and 3 and 4.</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</si>
</sst>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1"/>
      <color theme="1"/>
      <name val="Calibri"/>
      <family val="2"/>
      <scheme val="minor"/>
    </font>
    <font>
      <u/>
      <sz val="11"/>
      <color theme="1"/>
      <name val="Calibri"/>
      <family val="2"/>
      <scheme val="minor"/>
    </font>
    <font>
      <b/>
      <u/>
      <sz val="11"/>
      <color theme="1"/>
      <name val="Calibri"/>
      <family val="2"/>
      <scheme val="minor"/>
    </font>
    <font>
      <b/>
      <sz val="12"/>
      <color theme="1"/>
      <name val="Calibri"/>
      <family val="2"/>
      <scheme val="minor"/>
    </font>
    <font>
      <sz val="12"/>
      <color theme="1"/>
      <name val="Calibri"/>
      <family val="2"/>
      <scheme val="minor"/>
    </font>
    <font>
      <sz val="11"/>
      <name val="Calibri"/>
      <family val="2"/>
      <scheme val="minor"/>
    </font>
    <font>
      <b/>
      <sz val="11"/>
      <color rgb="FFFF0000"/>
      <name val="Calibri"/>
      <family val="2"/>
      <scheme val="minor"/>
    </font>
    <font>
      <sz val="11"/>
      <color rgb="FFFF0000"/>
      <name val="Calibri"/>
      <family val="2"/>
      <scheme val="minor"/>
    </font>
    <font>
      <u/>
      <sz val="11"/>
      <color rgb="FFFF0000"/>
      <name val="Calibri"/>
      <family val="2"/>
      <scheme val="minor"/>
    </font>
    <font>
      <b/>
      <sz val="11"/>
      <name val="Calibri"/>
      <family val="2"/>
      <scheme val="minor"/>
    </font>
    <font>
      <sz val="8"/>
      <name val="Calibri"/>
      <family val="2"/>
      <scheme val="minor"/>
    </font>
    <font>
      <b/>
      <u/>
      <sz val="11"/>
      <name val="Calibri"/>
      <family val="2"/>
      <scheme val="minor"/>
    </font>
    <font>
      <b/>
      <sz val="11"/>
      <color rgb="FFC00000"/>
      <name val="Calibri"/>
      <family val="2"/>
      <scheme val="minor"/>
    </font>
  </fonts>
  <fills count="19">
    <fill>
      <patternFill patternType="none"/>
    </fill>
    <fill>
      <patternFill patternType="gray125"/>
    </fill>
    <fill>
      <patternFill patternType="solid">
        <fgColor theme="3" tint="0.79998168889431442"/>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C000"/>
        <bgColor indexed="64"/>
      </patternFill>
    </fill>
    <fill>
      <patternFill patternType="solid">
        <fgColor theme="0" tint="-0.14999847407452621"/>
        <bgColor indexed="64"/>
      </patternFill>
    </fill>
    <fill>
      <patternFill patternType="solid">
        <fgColor rgb="FFFF00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1">
    <xf numFmtId="0" fontId="0" fillId="0" borderId="0"/>
  </cellStyleXfs>
  <cellXfs count="92">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5" fillId="0" borderId="0" xfId="0" applyFont="1" applyAlignment="1">
      <alignment horizontal="center" vertical="center" wrapText="1"/>
    </xf>
    <xf numFmtId="0" fontId="4" fillId="0" borderId="2" xfId="0" applyFont="1"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0" xfId="0" applyFill="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12" borderId="1" xfId="0" applyFill="1" applyBorder="1" applyAlignment="1">
      <alignment horizontal="center" vertical="center" wrapText="1"/>
    </xf>
    <xf numFmtId="0" fontId="0" fillId="13" borderId="1" xfId="0" applyFill="1" applyBorder="1" applyAlignment="1">
      <alignment horizontal="center" vertical="center" wrapText="1"/>
    </xf>
    <xf numFmtId="0" fontId="0" fillId="6" borderId="1" xfId="0" applyFill="1" applyBorder="1" applyAlignment="1">
      <alignment horizontal="center" vertical="center" wrapText="1"/>
    </xf>
    <xf numFmtId="0" fontId="0" fillId="14" borderId="1" xfId="0" applyFill="1" applyBorder="1" applyAlignment="1">
      <alignment horizontal="center" vertical="center" wrapText="1"/>
    </xf>
    <xf numFmtId="0" fontId="0" fillId="15" borderId="1" xfId="0" applyFill="1" applyBorder="1" applyAlignment="1">
      <alignment horizontal="center" vertical="center" wrapText="1"/>
    </xf>
    <xf numFmtId="0" fontId="0" fillId="16" borderId="1" xfId="0" applyFill="1" applyBorder="1" applyAlignment="1">
      <alignment horizontal="center" vertical="center" wrapText="1"/>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0" fillId="2" borderId="3" xfId="0" applyFill="1" applyBorder="1" applyAlignment="1">
      <alignment horizontal="center" vertical="center" wrapText="1"/>
    </xf>
    <xf numFmtId="0" fontId="0" fillId="4" borderId="3" xfId="0" applyFill="1" applyBorder="1" applyAlignment="1">
      <alignment horizontal="center" vertical="center" wrapText="1"/>
    </xf>
    <xf numFmtId="0" fontId="0" fillId="8" borderId="3" xfId="0" applyFill="1" applyBorder="1" applyAlignment="1">
      <alignment horizontal="center" vertical="center" wrapText="1"/>
    </xf>
    <xf numFmtId="0" fontId="0" fillId="7" borderId="2" xfId="0" applyFill="1" applyBorder="1" applyAlignment="1">
      <alignment horizontal="center" vertical="center" wrapText="1"/>
    </xf>
    <xf numFmtId="0" fontId="0" fillId="7" borderId="3" xfId="0" applyFill="1" applyBorder="1" applyAlignment="1">
      <alignment horizontal="center" vertical="center" wrapText="1"/>
    </xf>
    <xf numFmtId="0" fontId="0" fillId="9" borderId="4" xfId="0" applyFill="1" applyBorder="1" applyAlignment="1">
      <alignment horizontal="center" vertical="center" wrapText="1"/>
    </xf>
    <xf numFmtId="0" fontId="0" fillId="12" borderId="3" xfId="0" applyFill="1" applyBorder="1" applyAlignment="1">
      <alignment horizontal="center" vertical="center" wrapText="1"/>
    </xf>
    <xf numFmtId="0" fontId="0" fillId="10" borderId="4" xfId="0" applyFill="1" applyBorder="1" applyAlignment="1">
      <alignment horizontal="center" vertical="center" wrapText="1"/>
    </xf>
    <xf numFmtId="0" fontId="0" fillId="5" borderId="3" xfId="0" applyFill="1" applyBorder="1" applyAlignment="1">
      <alignment horizontal="center" vertical="center" wrapText="1"/>
    </xf>
    <xf numFmtId="0" fontId="0" fillId="6" borderId="3" xfId="0" applyFill="1" applyBorder="1" applyAlignment="1">
      <alignment horizontal="center" vertical="center" wrapText="1"/>
    </xf>
    <xf numFmtId="0" fontId="0" fillId="2" borderId="2" xfId="0" applyFill="1" applyBorder="1" applyAlignment="1">
      <alignment horizontal="center" vertical="center" wrapText="1"/>
    </xf>
    <xf numFmtId="0" fontId="0" fillId="2" borderId="4" xfId="0" applyFill="1" applyBorder="1" applyAlignment="1">
      <alignment horizontal="center" vertical="center" wrapText="1"/>
    </xf>
    <xf numFmtId="0" fontId="0" fillId="4" borderId="2" xfId="0" applyFill="1" applyBorder="1" applyAlignment="1">
      <alignment horizontal="center" vertical="center" wrapText="1"/>
    </xf>
    <xf numFmtId="0" fontId="0" fillId="4" borderId="4" xfId="0" applyFill="1" applyBorder="1" applyAlignment="1">
      <alignment horizontal="center" vertical="center" wrapText="1"/>
    </xf>
    <xf numFmtId="0" fontId="0" fillId="12" borderId="2" xfId="0" applyFill="1" applyBorder="1" applyAlignment="1">
      <alignment vertical="center" wrapText="1"/>
    </xf>
    <xf numFmtId="0" fontId="0" fillId="12" borderId="3" xfId="0" applyFill="1" applyBorder="1" applyAlignment="1">
      <alignment vertical="center" wrapText="1"/>
    </xf>
    <xf numFmtId="0" fontId="0" fillId="12" borderId="4" xfId="0" applyFill="1" applyBorder="1" applyAlignment="1">
      <alignment vertical="center" wrapText="1"/>
    </xf>
    <xf numFmtId="49" fontId="0" fillId="14" borderId="1" xfId="0" applyNumberFormat="1" applyFill="1" applyBorder="1" applyAlignment="1">
      <alignment horizontal="center" vertical="center" wrapText="1"/>
    </xf>
    <xf numFmtId="0" fontId="0" fillId="14" borderId="2" xfId="0" applyFill="1" applyBorder="1" applyAlignment="1">
      <alignment vertical="center" wrapText="1"/>
    </xf>
    <xf numFmtId="0" fontId="0" fillId="14" borderId="3" xfId="0" applyFill="1" applyBorder="1" applyAlignment="1">
      <alignment vertical="center" wrapText="1"/>
    </xf>
    <xf numFmtId="0" fontId="0" fillId="9" borderId="2" xfId="0" applyFill="1" applyBorder="1" applyAlignment="1">
      <alignment horizontal="center" vertical="center" wrapText="1"/>
    </xf>
    <xf numFmtId="0" fontId="0" fillId="9" borderId="3" xfId="0" applyFill="1" applyBorder="1" applyAlignment="1">
      <alignment horizontal="center" vertical="center" wrapText="1"/>
    </xf>
    <xf numFmtId="0" fontId="0" fillId="16" borderId="2" xfId="0" applyFill="1" applyBorder="1" applyAlignment="1">
      <alignment horizontal="center" vertical="center" wrapText="1"/>
    </xf>
    <xf numFmtId="0" fontId="0" fillId="16" borderId="3" xfId="0" applyFill="1" applyBorder="1" applyAlignment="1">
      <alignment horizontal="center" vertical="center" wrapText="1"/>
    </xf>
    <xf numFmtId="0" fontId="0" fillId="17" borderId="1" xfId="0" applyFill="1" applyBorder="1" applyAlignment="1">
      <alignment horizontal="center" vertical="center" wrapText="1"/>
    </xf>
    <xf numFmtId="0" fontId="0" fillId="17" borderId="3" xfId="0" applyFill="1" applyBorder="1" applyAlignment="1">
      <alignment horizontal="center" vertical="center" wrapText="1"/>
    </xf>
    <xf numFmtId="0" fontId="0" fillId="17" borderId="4" xfId="0" applyFill="1" applyBorder="1" applyAlignment="1">
      <alignment horizontal="center" vertical="center" wrapText="1"/>
    </xf>
    <xf numFmtId="49" fontId="0" fillId="0" borderId="0" xfId="0" applyNumberFormat="1" applyAlignment="1">
      <alignment horizontal="center" vertical="center" wrapText="1"/>
    </xf>
    <xf numFmtId="0" fontId="0" fillId="9" borderId="1" xfId="0" applyFill="1" applyBorder="1" applyAlignment="1">
      <alignment vertical="center" wrapText="1"/>
    </xf>
    <xf numFmtId="0" fontId="0" fillId="10" borderId="1" xfId="0" applyFill="1" applyBorder="1" applyAlignment="1">
      <alignment vertical="center" wrapText="1"/>
    </xf>
    <xf numFmtId="0" fontId="6" fillId="12" borderId="1" xfId="0" applyFont="1" applyFill="1" applyBorder="1" applyAlignment="1">
      <alignment horizontal="left" vertical="top" wrapText="1"/>
    </xf>
    <xf numFmtId="0" fontId="0" fillId="11" borderId="1" xfId="0" applyFill="1" applyBorder="1" applyAlignment="1">
      <alignment horizontal="left" vertical="top" wrapText="1"/>
    </xf>
    <xf numFmtId="0" fontId="0" fillId="2" borderId="1" xfId="0" applyFill="1" applyBorder="1" applyAlignment="1">
      <alignment horizontal="left" vertical="top" wrapText="1"/>
    </xf>
    <xf numFmtId="0" fontId="0" fillId="2" borderId="1" xfId="0" applyFill="1" applyBorder="1" applyAlignment="1">
      <alignment vertical="top" wrapText="1"/>
    </xf>
    <xf numFmtId="0" fontId="0" fillId="3" borderId="1" xfId="0" applyFill="1" applyBorder="1" applyAlignment="1">
      <alignment horizontal="left" vertical="top" wrapText="1"/>
    </xf>
    <xf numFmtId="0" fontId="0" fillId="4" borderId="1" xfId="0" applyFill="1" applyBorder="1" applyAlignment="1">
      <alignment vertical="top" wrapText="1"/>
    </xf>
    <xf numFmtId="0" fontId="0" fillId="5" borderId="1" xfId="0" applyFill="1" applyBorder="1" applyAlignment="1">
      <alignment horizontal="left" vertical="top" wrapText="1"/>
    </xf>
    <xf numFmtId="0" fontId="0" fillId="17" borderId="1" xfId="0" applyFill="1" applyBorder="1" applyAlignment="1">
      <alignment horizontal="left" vertical="top" wrapText="1"/>
    </xf>
    <xf numFmtId="0" fontId="0" fillId="6" borderId="1" xfId="0" applyFill="1" applyBorder="1" applyAlignment="1">
      <alignment horizontal="left" vertical="top" wrapText="1"/>
    </xf>
    <xf numFmtId="0" fontId="0" fillId="7" borderId="1" xfId="0" applyFill="1" applyBorder="1" applyAlignment="1">
      <alignment horizontal="left" vertical="top" wrapText="1"/>
    </xf>
    <xf numFmtId="0" fontId="0" fillId="8" borderId="1" xfId="0" applyFill="1" applyBorder="1" applyAlignment="1">
      <alignment horizontal="left" vertical="top" wrapText="1"/>
    </xf>
    <xf numFmtId="0" fontId="0" fillId="9" borderId="1" xfId="0" applyFill="1" applyBorder="1" applyAlignment="1">
      <alignment horizontal="left" vertical="top" wrapText="1"/>
    </xf>
    <xf numFmtId="0" fontId="0" fillId="10" borderId="1" xfId="0" applyFill="1" applyBorder="1" applyAlignment="1">
      <alignment horizontal="left" vertical="top" wrapText="1"/>
    </xf>
    <xf numFmtId="0" fontId="6" fillId="10" borderId="1" xfId="0" applyFont="1" applyFill="1" applyBorder="1" applyAlignment="1">
      <alignment horizontal="left" vertical="top" wrapText="1"/>
    </xf>
    <xf numFmtId="0" fontId="6" fillId="17" borderId="1" xfId="0" applyFont="1" applyFill="1" applyBorder="1" applyAlignment="1">
      <alignment horizontal="left" vertical="top" wrapText="1"/>
    </xf>
    <xf numFmtId="0" fontId="6" fillId="6" borderId="1" xfId="0" applyFont="1" applyFill="1" applyBorder="1" applyAlignment="1">
      <alignment horizontal="left" vertical="top" wrapText="1"/>
    </xf>
    <xf numFmtId="0" fontId="0" fillId="13" borderId="1" xfId="0" applyFill="1" applyBorder="1" applyAlignment="1">
      <alignment horizontal="left" vertical="top" wrapText="1"/>
    </xf>
    <xf numFmtId="0" fontId="0" fillId="14" borderId="1" xfId="0" applyFill="1" applyBorder="1" applyAlignment="1">
      <alignment horizontal="left" vertical="top" wrapText="1"/>
    </xf>
    <xf numFmtId="0" fontId="0" fillId="18" borderId="1" xfId="0" applyFill="1" applyBorder="1" applyAlignment="1">
      <alignment horizontal="left" vertical="top" wrapText="1"/>
    </xf>
    <xf numFmtId="0" fontId="0" fillId="16" borderId="1" xfId="0" applyFill="1" applyBorder="1" applyAlignment="1">
      <alignment horizontal="left" vertical="top" wrapText="1"/>
    </xf>
    <xf numFmtId="0" fontId="0" fillId="15" borderId="1" xfId="0" applyFill="1" applyBorder="1" applyAlignment="1">
      <alignment horizontal="left" vertical="top" wrapText="1"/>
    </xf>
    <xf numFmtId="0" fontId="0" fillId="0" borderId="0" xfId="0" applyAlignment="1">
      <alignment horizontal="center" vertical="top" wrapText="1"/>
    </xf>
    <xf numFmtId="49" fontId="4" fillId="0" borderId="2" xfId="0" applyNumberFormat="1" applyFont="1" applyBorder="1" applyAlignment="1">
      <alignment horizontal="center" vertical="center" wrapText="1"/>
    </xf>
    <xf numFmtId="49" fontId="0" fillId="2" borderId="1" xfId="0" applyNumberFormat="1" applyFill="1" applyBorder="1" applyAlignment="1">
      <alignment horizontal="center" vertical="center" wrapText="1"/>
    </xf>
    <xf numFmtId="49" fontId="0" fillId="3" borderId="1" xfId="0" applyNumberFormat="1" applyFill="1" applyBorder="1" applyAlignment="1">
      <alignment horizontal="center" vertical="center" wrapText="1"/>
    </xf>
    <xf numFmtId="49" fontId="0" fillId="4" borderId="1" xfId="0" applyNumberFormat="1" applyFill="1" applyBorder="1" applyAlignment="1">
      <alignment horizontal="center" vertical="center" wrapText="1"/>
    </xf>
    <xf numFmtId="49" fontId="0" fillId="5" borderId="1" xfId="0" applyNumberFormat="1" applyFill="1" applyBorder="1" applyAlignment="1">
      <alignment horizontal="center" vertical="center" wrapText="1"/>
    </xf>
    <xf numFmtId="49" fontId="0" fillId="17" borderId="1" xfId="0" applyNumberFormat="1" applyFill="1" applyBorder="1" applyAlignment="1">
      <alignment horizontal="center" vertical="center" wrapText="1"/>
    </xf>
    <xf numFmtId="49" fontId="0" fillId="6" borderId="1" xfId="0" applyNumberFormat="1" applyFill="1" applyBorder="1" applyAlignment="1">
      <alignment horizontal="center" vertical="center" wrapText="1"/>
    </xf>
    <xf numFmtId="49" fontId="0" fillId="7" borderId="1" xfId="0" applyNumberFormat="1" applyFill="1" applyBorder="1" applyAlignment="1">
      <alignment horizontal="center" vertical="center" wrapText="1"/>
    </xf>
    <xf numFmtId="49" fontId="0" fillId="8" borderId="1" xfId="0" applyNumberFormat="1" applyFill="1" applyBorder="1" applyAlignment="1">
      <alignment horizontal="center" vertical="center" wrapText="1"/>
    </xf>
    <xf numFmtId="49" fontId="0" fillId="9" borderId="1" xfId="0" applyNumberFormat="1" applyFill="1" applyBorder="1" applyAlignment="1">
      <alignment horizontal="center" vertical="center" wrapText="1"/>
    </xf>
    <xf numFmtId="49" fontId="0" fillId="10" borderId="1" xfId="0" applyNumberFormat="1" applyFill="1" applyBorder="1" applyAlignment="1">
      <alignment horizontal="center" vertical="center" wrapText="1"/>
    </xf>
    <xf numFmtId="49" fontId="0" fillId="12" borderId="1" xfId="0" applyNumberFormat="1" applyFill="1" applyBorder="1" applyAlignment="1">
      <alignment horizontal="center" vertical="center" wrapText="1"/>
    </xf>
    <xf numFmtId="49" fontId="0" fillId="11" borderId="1" xfId="0" applyNumberFormat="1" applyFill="1" applyBorder="1" applyAlignment="1">
      <alignment horizontal="center" vertical="center" wrapText="1"/>
    </xf>
    <xf numFmtId="49" fontId="0" fillId="13" borderId="1" xfId="0" applyNumberFormat="1" applyFill="1" applyBorder="1" applyAlignment="1">
      <alignment horizontal="center" vertical="center" wrapText="1"/>
    </xf>
    <xf numFmtId="49" fontId="0" fillId="16" borderId="1" xfId="0" applyNumberFormat="1" applyFill="1" applyBorder="1" applyAlignment="1">
      <alignment horizontal="center" vertical="center" wrapText="1"/>
    </xf>
    <xf numFmtId="49" fontId="0" fillId="15" borderId="1" xfId="0" applyNumberForma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Burndown!$B$1</c:f>
              <c:strCache>
                <c:ptCount val="1"/>
                <c:pt idx="0">
                  <c:v>Actual Story Points Left</c:v>
                </c:pt>
              </c:strCache>
            </c:strRef>
          </c:tx>
          <c:spPr>
            <a:ln w="28575" cap="rnd">
              <a:solidFill>
                <a:schemeClr val="accent1"/>
              </a:solidFill>
              <a:round/>
            </a:ln>
            <a:effectLst/>
          </c:spPr>
          <c:marker>
            <c:symbol val="none"/>
          </c:marker>
          <c:val>
            <c:numRef>
              <c:f>Burndown!$B$2:$B$12</c:f>
              <c:numCache>
                <c:formatCode>General</c:formatCode>
                <c:ptCount val="11"/>
                <c:pt idx="0">
                  <c:v>156</c:v>
                </c:pt>
                <c:pt idx="1">
                  <c:v>156</c:v>
                </c:pt>
                <c:pt idx="2">
                  <c:v>156</c:v>
                </c:pt>
                <c:pt idx="3">
                  <c:v>156</c:v>
                </c:pt>
                <c:pt idx="4">
                  <c:v>156</c:v>
                </c:pt>
                <c:pt idx="5">
                  <c:v>148</c:v>
                </c:pt>
                <c:pt idx="6">
                  <c:v>148</c:v>
                </c:pt>
                <c:pt idx="7">
                  <c:v>148</c:v>
                </c:pt>
                <c:pt idx="8">
                  <c:v>148</c:v>
                </c:pt>
                <c:pt idx="9">
                  <c:v>148</c:v>
                </c:pt>
                <c:pt idx="10">
                  <c:v>148</c:v>
                </c:pt>
              </c:numCache>
            </c:numRef>
          </c:val>
          <c:smooth val="0"/>
          <c:extLst>
            <c:ext xmlns:c16="http://schemas.microsoft.com/office/drawing/2014/chart" uri="{C3380CC4-5D6E-409C-BE32-E72D297353CC}">
              <c16:uniqueId val="{00000000-93A3-4D70-A15D-11D521EE13C6}"/>
            </c:ext>
          </c:extLst>
        </c:ser>
        <c:ser>
          <c:idx val="1"/>
          <c:order val="1"/>
          <c:tx>
            <c:strRef>
              <c:f>Burndown!$C$1</c:f>
              <c:strCache>
                <c:ptCount val="1"/>
                <c:pt idx="0">
                  <c:v>Expected Story Points Left</c:v>
                </c:pt>
              </c:strCache>
            </c:strRef>
          </c:tx>
          <c:spPr>
            <a:ln w="28575" cap="rnd">
              <a:solidFill>
                <a:schemeClr val="accent2"/>
              </a:solidFill>
              <a:round/>
            </a:ln>
            <a:effectLst/>
          </c:spPr>
          <c:marker>
            <c:symbol val="none"/>
          </c:marker>
          <c:val>
            <c:numRef>
              <c:f>Burndown!$C$2:$C$12</c:f>
              <c:numCache>
                <c:formatCode>General</c:formatCode>
                <c:ptCount val="11"/>
                <c:pt idx="0">
                  <c:v>156</c:v>
                </c:pt>
                <c:pt idx="1">
                  <c:v>140.4</c:v>
                </c:pt>
                <c:pt idx="2">
                  <c:v>124.8</c:v>
                </c:pt>
                <c:pt idx="3">
                  <c:v>109.2</c:v>
                </c:pt>
                <c:pt idx="4">
                  <c:v>93.6</c:v>
                </c:pt>
                <c:pt idx="5">
                  <c:v>78</c:v>
                </c:pt>
                <c:pt idx="6">
                  <c:v>62.400000000000006</c:v>
                </c:pt>
                <c:pt idx="7">
                  <c:v>46.8</c:v>
                </c:pt>
                <c:pt idx="8">
                  <c:v>31.200000000000003</c:v>
                </c:pt>
                <c:pt idx="9">
                  <c:v>15.599999999999994</c:v>
                </c:pt>
                <c:pt idx="10">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1"/>
        <c:lblAlgn val="ctr"/>
        <c:lblOffset val="100"/>
        <c:noMultiLvlLbl val="0"/>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167640</xdr:colOff>
      <xdr:row>0</xdr:row>
      <xdr:rowOff>182880</xdr:rowOff>
    </xdr:from>
    <xdr:to>
      <xdr:col>18</xdr:col>
      <xdr:colOff>30480</xdr:colOff>
      <xdr:row>21</xdr:row>
      <xdr:rowOff>91440</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75"/>
  <sheetViews>
    <sheetView tabSelected="1" zoomScale="85" zoomScaleNormal="85" workbookViewId="0">
      <pane ySplit="1" topLeftCell="A68" activePane="bottomLeft" state="frozen"/>
      <selection pane="bottomLeft" activeCell="E72" sqref="E72"/>
    </sheetView>
  </sheetViews>
  <sheetFormatPr defaultRowHeight="14.4" x14ac:dyDescent="0.3"/>
  <cols>
    <col min="1" max="1" width="11.6640625" style="1" customWidth="1"/>
    <col min="2" max="2" width="13.44140625" style="51" bestFit="1" customWidth="1"/>
    <col min="3" max="3" width="18.109375" style="1" bestFit="1" customWidth="1"/>
    <col min="4" max="4" width="12.33203125" style="1" bestFit="1" customWidth="1"/>
    <col min="5" max="5" width="80.21875" style="75" customWidth="1"/>
    <col min="6" max="6" width="12.44140625" style="1" bestFit="1" customWidth="1"/>
    <col min="7" max="7" width="13.33203125" style="1" bestFit="1" customWidth="1"/>
    <col min="8" max="8" width="11.5546875" style="1" bestFit="1" customWidth="1"/>
    <col min="9" max="9" width="4.6640625" style="1" bestFit="1" customWidth="1"/>
    <col min="10" max="10" width="4.6640625" style="1" customWidth="1"/>
    <col min="11" max="11" width="7" style="1" bestFit="1" customWidth="1"/>
    <col min="12" max="12" width="16" style="1" bestFit="1" customWidth="1"/>
    <col min="13" max="13" width="10.77734375" style="1" bestFit="1" customWidth="1"/>
    <col min="14" max="16384" width="8.88671875" style="1"/>
  </cols>
  <sheetData>
    <row r="1" spans="1:13" s="3" customFormat="1" ht="15.6" x14ac:dyDescent="0.3">
      <c r="A1" s="4" t="s">
        <v>0</v>
      </c>
      <c r="B1" s="76" t="s">
        <v>1</v>
      </c>
      <c r="C1" s="4" t="s">
        <v>2</v>
      </c>
      <c r="D1" s="4" t="s">
        <v>26</v>
      </c>
      <c r="E1" s="4" t="s">
        <v>3</v>
      </c>
      <c r="F1" s="4" t="s">
        <v>4</v>
      </c>
      <c r="G1" s="4" t="s">
        <v>17</v>
      </c>
      <c r="H1" s="4" t="s">
        <v>18</v>
      </c>
      <c r="I1" s="4">
        <f>SUM(I3:I42)</f>
        <v>42</v>
      </c>
      <c r="J1" s="4">
        <f>SUM(J3:J42)</f>
        <v>16</v>
      </c>
      <c r="K1" s="4" t="s">
        <v>5</v>
      </c>
      <c r="L1" s="4" t="s">
        <v>6</v>
      </c>
      <c r="M1" s="4" t="s">
        <v>16</v>
      </c>
    </row>
    <row r="2" spans="1:13" ht="187.2" x14ac:dyDescent="0.3">
      <c r="A2" s="5" t="s">
        <v>36</v>
      </c>
      <c r="B2" s="77">
        <v>3.1</v>
      </c>
      <c r="C2" s="5" t="s">
        <v>34</v>
      </c>
      <c r="D2" s="5" t="s">
        <v>82</v>
      </c>
      <c r="E2" s="56" t="s">
        <v>110</v>
      </c>
      <c r="F2" s="5" t="s">
        <v>28</v>
      </c>
      <c r="G2" s="5" t="s">
        <v>25</v>
      </c>
      <c r="H2" s="5" cm="1">
        <f t="array" ref="H2">_xlfn.SWITCH(G2,"XS",1,"S",2,"M",3,"L",5,"XL",8,"XXL",13,"XXXL",21,"")</f>
        <v>1</v>
      </c>
      <c r="I2" s="6">
        <f>H2</f>
        <v>1</v>
      </c>
      <c r="J2" s="24"/>
      <c r="K2" s="5" t="s">
        <v>15</v>
      </c>
      <c r="L2" s="5"/>
      <c r="M2" s="5" t="s">
        <v>7</v>
      </c>
    </row>
    <row r="3" spans="1:13" ht="144" x14ac:dyDescent="0.3">
      <c r="A3" s="5" t="s">
        <v>36</v>
      </c>
      <c r="B3" s="77">
        <v>3.1</v>
      </c>
      <c r="C3" s="5" t="s">
        <v>34</v>
      </c>
      <c r="D3" s="5" t="s">
        <v>82</v>
      </c>
      <c r="E3" s="57" t="s">
        <v>111</v>
      </c>
      <c r="F3" s="5" t="s">
        <v>28</v>
      </c>
      <c r="G3" s="5" t="s">
        <v>25</v>
      </c>
      <c r="H3" s="5" cm="1">
        <f t="array" ref="H3">_xlfn.SWITCH(G3,"XS",1,"S",2,"M",3,"L",5,"XL",8,"XXL",13,"XXXL",21,"")</f>
        <v>1</v>
      </c>
      <c r="I3" s="6">
        <f>H3</f>
        <v>1</v>
      </c>
      <c r="J3" s="34">
        <v>16</v>
      </c>
      <c r="K3" s="5" t="s">
        <v>15</v>
      </c>
      <c r="L3" s="5"/>
      <c r="M3" s="5" t="s">
        <v>7</v>
      </c>
    </row>
    <row r="4" spans="1:13" ht="100.8" x14ac:dyDescent="0.3">
      <c r="A4" s="5" t="s">
        <v>36</v>
      </c>
      <c r="B4" s="77">
        <v>3.1</v>
      </c>
      <c r="C4" s="5" t="s">
        <v>34</v>
      </c>
      <c r="D4" s="5" t="s">
        <v>82</v>
      </c>
      <c r="E4" s="57" t="s">
        <v>112</v>
      </c>
      <c r="F4" s="5" t="s">
        <v>28</v>
      </c>
      <c r="G4" s="5" t="s">
        <v>25</v>
      </c>
      <c r="H4" s="5" cm="1">
        <f t="array" ref="H4">_xlfn.SWITCH(G4,"XS",1,"S",2,"M",3,"L",5,"XL",8,"XXL",13,"XXXL",21,"")</f>
        <v>1</v>
      </c>
      <c r="I4" s="6">
        <f t="shared" ref="I4:I35" si="0">H4</f>
        <v>1</v>
      </c>
      <c r="J4" s="24"/>
      <c r="K4" s="5" t="s">
        <v>15</v>
      </c>
      <c r="L4" s="5"/>
      <c r="M4" s="5" t="s">
        <v>7</v>
      </c>
    </row>
    <row r="5" spans="1:13" ht="100.8" x14ac:dyDescent="0.3">
      <c r="A5" s="5" t="s">
        <v>36</v>
      </c>
      <c r="B5" s="77">
        <v>3.1</v>
      </c>
      <c r="C5" s="5" t="s">
        <v>35</v>
      </c>
      <c r="D5" s="5" t="s">
        <v>82</v>
      </c>
      <c r="E5" s="57" t="s">
        <v>128</v>
      </c>
      <c r="F5" s="5" t="s">
        <v>28</v>
      </c>
      <c r="G5" s="5" t="s">
        <v>25</v>
      </c>
      <c r="H5" s="5" cm="1">
        <f t="array" ref="H5">_xlfn.SWITCH(G5,"XS",1,"S",2,"M",3,"L",5,"XL",8,"XXL",13,"XXXL",21,"")</f>
        <v>1</v>
      </c>
      <c r="I5" s="6">
        <f>H5</f>
        <v>1</v>
      </c>
      <c r="J5" s="24"/>
      <c r="K5" s="5" t="s">
        <v>15</v>
      </c>
      <c r="L5" s="5"/>
      <c r="M5" s="5" t="s">
        <v>7</v>
      </c>
    </row>
    <row r="6" spans="1:13" ht="129.6" x14ac:dyDescent="0.3">
      <c r="A6" s="5" t="s">
        <v>36</v>
      </c>
      <c r="B6" s="77">
        <v>3.1</v>
      </c>
      <c r="C6" s="5" t="s">
        <v>35</v>
      </c>
      <c r="D6" s="5" t="s">
        <v>82</v>
      </c>
      <c r="E6" s="56" t="s">
        <v>113</v>
      </c>
      <c r="F6" s="5" t="s">
        <v>28</v>
      </c>
      <c r="G6" s="5" t="s">
        <v>25</v>
      </c>
      <c r="H6" s="5" cm="1">
        <f t="array" ref="H6">_xlfn.SWITCH(G6,"XS",1,"S",2,"M",3,"L",5,"XL",8,"XXL",13,"XXXL",21,"")</f>
        <v>1</v>
      </c>
      <c r="I6" s="6">
        <f t="shared" si="0"/>
        <v>1</v>
      </c>
      <c r="J6" s="24"/>
      <c r="K6" s="5" t="s">
        <v>15</v>
      </c>
      <c r="L6" s="5"/>
      <c r="M6" s="5" t="s">
        <v>7</v>
      </c>
    </row>
    <row r="7" spans="1:13" ht="216" x14ac:dyDescent="0.3">
      <c r="A7" s="6" t="s">
        <v>36</v>
      </c>
      <c r="B7" s="78">
        <v>3.1</v>
      </c>
      <c r="C7" s="6" t="s">
        <v>34</v>
      </c>
      <c r="D7" s="6" t="s">
        <v>29</v>
      </c>
      <c r="E7" s="58" t="s">
        <v>45</v>
      </c>
      <c r="F7" s="6" t="s">
        <v>8</v>
      </c>
      <c r="G7" s="6" t="s">
        <v>24</v>
      </c>
      <c r="H7" s="5" cm="1">
        <f t="array" ref="H7">_xlfn.SWITCH(G7,"XS",1,"S",2,"M",3,"L",5,"XL",8,"XXL",13,"XXXL",21,"")</f>
        <v>5</v>
      </c>
      <c r="I7" s="6">
        <f t="shared" si="0"/>
        <v>5</v>
      </c>
      <c r="J7" s="24"/>
      <c r="K7" s="6" t="s">
        <v>15</v>
      </c>
      <c r="L7" s="6"/>
      <c r="M7" s="6" t="s">
        <v>7</v>
      </c>
    </row>
    <row r="8" spans="1:13" ht="104.4" customHeight="1" x14ac:dyDescent="0.3">
      <c r="A8" s="6" t="s">
        <v>36</v>
      </c>
      <c r="B8" s="78">
        <v>3.1</v>
      </c>
      <c r="C8" s="6" t="s">
        <v>34</v>
      </c>
      <c r="D8" s="6" t="s">
        <v>29</v>
      </c>
      <c r="E8" s="58" t="s">
        <v>46</v>
      </c>
      <c r="F8" s="6" t="s">
        <v>8</v>
      </c>
      <c r="G8" s="6" t="s">
        <v>19</v>
      </c>
      <c r="H8" s="5" cm="1">
        <f t="array" ref="H8">_xlfn.SWITCH(G8,"XS",1,"S",2,"M",3,"L",5,"XL",8,"XXL",13,"XXXL",21,"")</f>
        <v>2</v>
      </c>
      <c r="I8" s="6">
        <f>H8</f>
        <v>2</v>
      </c>
      <c r="J8" s="24"/>
      <c r="K8" s="6" t="s">
        <v>15</v>
      </c>
      <c r="L8" s="6"/>
      <c r="M8" s="6" t="s">
        <v>7</v>
      </c>
    </row>
    <row r="9" spans="1:13" ht="72" x14ac:dyDescent="0.3">
      <c r="A9" s="6" t="s">
        <v>36</v>
      </c>
      <c r="B9" s="78">
        <v>3.1</v>
      </c>
      <c r="C9" s="6" t="s">
        <v>35</v>
      </c>
      <c r="D9" s="6" t="s">
        <v>29</v>
      </c>
      <c r="E9" s="58" t="s">
        <v>39</v>
      </c>
      <c r="F9" s="6" t="s">
        <v>8</v>
      </c>
      <c r="G9" s="6" t="s">
        <v>19</v>
      </c>
      <c r="H9" s="5" cm="1">
        <f t="array" ref="H9">_xlfn.SWITCH(G9,"XS",1,"S",2,"M",3,"L",5,"XL",8,"XXL",13,"XXXL",21,"")</f>
        <v>2</v>
      </c>
      <c r="I9" s="6">
        <f t="shared" si="0"/>
        <v>2</v>
      </c>
      <c r="J9" s="24"/>
      <c r="K9" s="6" t="s">
        <v>15</v>
      </c>
      <c r="L9" s="6"/>
      <c r="M9" s="6" t="s">
        <v>7</v>
      </c>
    </row>
    <row r="10" spans="1:13" ht="86.4" x14ac:dyDescent="0.3">
      <c r="A10" s="6" t="s">
        <v>36</v>
      </c>
      <c r="B10" s="78">
        <v>3.1</v>
      </c>
      <c r="C10" s="6" t="s">
        <v>35</v>
      </c>
      <c r="D10" s="6" t="s">
        <v>29</v>
      </c>
      <c r="E10" s="58" t="s">
        <v>40</v>
      </c>
      <c r="F10" s="6" t="s">
        <v>8</v>
      </c>
      <c r="G10" s="6" t="s">
        <v>19</v>
      </c>
      <c r="H10" s="5" cm="1">
        <f t="array" ref="H10">_xlfn.SWITCH(G10,"XS",1,"S",2,"M",3,"L",5,"XL",8,"XXL",13,"XXXL",21,"")</f>
        <v>2</v>
      </c>
      <c r="I10" s="6">
        <f t="shared" si="0"/>
        <v>2</v>
      </c>
      <c r="J10" s="35"/>
      <c r="K10" s="6" t="s">
        <v>15</v>
      </c>
      <c r="L10" s="6"/>
      <c r="M10" s="6" t="s">
        <v>7</v>
      </c>
    </row>
    <row r="11" spans="1:13" ht="69.599999999999994" customHeight="1" x14ac:dyDescent="0.3">
      <c r="A11" s="6" t="s">
        <v>36</v>
      </c>
      <c r="B11" s="78">
        <v>3.1</v>
      </c>
      <c r="C11" s="6" t="s">
        <v>35</v>
      </c>
      <c r="D11" s="6" t="s">
        <v>29</v>
      </c>
      <c r="E11" s="58" t="s">
        <v>38</v>
      </c>
      <c r="F11" s="6" t="s">
        <v>8</v>
      </c>
      <c r="G11" s="6" t="s">
        <v>19</v>
      </c>
      <c r="H11" s="5" cm="1">
        <f t="array" ref="H11">_xlfn.SWITCH(G11,"XS",1,"S",2,"M",3,"L",5,"XL",8,"XXL",13,"XXXL",21,"")</f>
        <v>2</v>
      </c>
      <c r="I11" s="6">
        <f t="shared" si="0"/>
        <v>2</v>
      </c>
      <c r="J11" s="24"/>
      <c r="K11" s="6" t="s">
        <v>15</v>
      </c>
      <c r="L11" s="6"/>
      <c r="M11" s="6" t="s">
        <v>7</v>
      </c>
    </row>
    <row r="12" spans="1:13" ht="129" customHeight="1" x14ac:dyDescent="0.3">
      <c r="A12" s="7" t="s">
        <v>36</v>
      </c>
      <c r="B12" s="79">
        <v>3.2</v>
      </c>
      <c r="C12" s="7"/>
      <c r="D12" s="7" t="s">
        <v>82</v>
      </c>
      <c r="E12" s="59" t="s">
        <v>127</v>
      </c>
      <c r="F12" s="7" t="s">
        <v>28</v>
      </c>
      <c r="G12" s="7"/>
      <c r="H12" s="7" t="str" cm="1">
        <f t="array" ref="H12">_xlfn.SWITCH(G12,"XS",1,"S",2,"M",3,"L",5,"XL",8,"XXL",13,"XXXL",21,"")</f>
        <v/>
      </c>
      <c r="I12" s="7" t="str">
        <f>H12</f>
        <v/>
      </c>
      <c r="J12" s="25"/>
      <c r="K12" s="7" t="s">
        <v>15</v>
      </c>
      <c r="L12" s="7"/>
      <c r="M12" s="7" t="s">
        <v>7</v>
      </c>
    </row>
    <row r="13" spans="1:13" ht="100.8" x14ac:dyDescent="0.3">
      <c r="A13" s="7" t="s">
        <v>36</v>
      </c>
      <c r="B13" s="79">
        <v>3.2</v>
      </c>
      <c r="C13" s="7"/>
      <c r="D13" s="7" t="s">
        <v>82</v>
      </c>
      <c r="E13" s="59" t="s">
        <v>114</v>
      </c>
      <c r="F13" s="7" t="s">
        <v>28</v>
      </c>
      <c r="G13" s="7"/>
      <c r="H13" s="7" t="str" cm="1">
        <f t="array" ref="H13">_xlfn.SWITCH(G13,"XS",1,"S",2,"M",3,"L",5,"XL",8,"XXL",13,"XXXL",21,"")</f>
        <v/>
      </c>
      <c r="I13" s="7" t="str">
        <f t="shared" si="0"/>
        <v/>
      </c>
      <c r="J13" s="36"/>
      <c r="K13" s="7" t="s">
        <v>15</v>
      </c>
      <c r="L13" s="7"/>
      <c r="M13" s="7" t="s">
        <v>7</v>
      </c>
    </row>
    <row r="14" spans="1:13" ht="57.6" x14ac:dyDescent="0.3">
      <c r="A14" s="8" t="s">
        <v>36</v>
      </c>
      <c r="B14" s="80">
        <v>3.2</v>
      </c>
      <c r="C14" s="8" t="s">
        <v>41</v>
      </c>
      <c r="D14" s="8" t="s">
        <v>29</v>
      </c>
      <c r="E14" s="60" t="s">
        <v>37</v>
      </c>
      <c r="F14" s="8" t="s">
        <v>8</v>
      </c>
      <c r="G14" s="8" t="s">
        <v>25</v>
      </c>
      <c r="H14" s="8" cm="1">
        <f t="array" ref="H14">_xlfn.SWITCH(G14,"XS",1,"S",2,"M",3,"L",5,"XL",8,"XXL",13,"XXXL",21,"")</f>
        <v>1</v>
      </c>
      <c r="I14" s="8">
        <f t="shared" si="0"/>
        <v>1</v>
      </c>
      <c r="J14" s="37"/>
      <c r="K14" s="8" t="s">
        <v>15</v>
      </c>
      <c r="L14" s="8"/>
      <c r="M14" s="8" t="s">
        <v>7</v>
      </c>
    </row>
    <row r="15" spans="1:13" ht="158.4" x14ac:dyDescent="0.3">
      <c r="A15" s="8" t="s">
        <v>36</v>
      </c>
      <c r="B15" s="80">
        <v>3.2</v>
      </c>
      <c r="C15" s="8" t="s">
        <v>41</v>
      </c>
      <c r="D15" s="8" t="s">
        <v>29</v>
      </c>
      <c r="E15" s="60" t="s">
        <v>115</v>
      </c>
      <c r="F15" s="8" t="s">
        <v>8</v>
      </c>
      <c r="G15" s="8" t="s">
        <v>25</v>
      </c>
      <c r="H15" s="8" cm="1">
        <f t="array" ref="H15">_xlfn.SWITCH(G15,"XS",1,"S",2,"M",3,"L",5,"XL",8,"XXL",13,"XXXL",21,"")</f>
        <v>1</v>
      </c>
      <c r="I15" s="8">
        <f t="shared" si="0"/>
        <v>1</v>
      </c>
      <c r="J15" s="25"/>
      <c r="K15" s="8" t="s">
        <v>15</v>
      </c>
      <c r="L15" s="8"/>
      <c r="M15" s="8" t="s">
        <v>7</v>
      </c>
    </row>
    <row r="16" spans="1:13" ht="86.4" x14ac:dyDescent="0.3">
      <c r="A16" s="8" t="s">
        <v>36</v>
      </c>
      <c r="B16" s="80">
        <v>3.2</v>
      </c>
      <c r="C16" s="8" t="s">
        <v>41</v>
      </c>
      <c r="D16" s="8" t="s">
        <v>29</v>
      </c>
      <c r="E16" s="60" t="s">
        <v>42</v>
      </c>
      <c r="F16" s="8" t="s">
        <v>8</v>
      </c>
      <c r="G16" s="8" t="s">
        <v>25</v>
      </c>
      <c r="H16" s="8" cm="1">
        <f t="array" ref="H16">_xlfn.SWITCH(G16,"XS",1,"S",2,"M",3,"L",5,"XL",8,"XXL",13,"XXXL",21,"")</f>
        <v>1</v>
      </c>
      <c r="I16" s="8">
        <f t="shared" si="0"/>
        <v>1</v>
      </c>
      <c r="J16" s="32"/>
      <c r="K16" s="8" t="s">
        <v>15</v>
      </c>
      <c r="L16" s="8"/>
      <c r="M16" s="8" t="s">
        <v>7</v>
      </c>
    </row>
    <row r="17" spans="1:13" ht="43.2" x14ac:dyDescent="0.3">
      <c r="A17" s="48"/>
      <c r="B17" s="81"/>
      <c r="C17" s="48"/>
      <c r="D17" s="48" t="s">
        <v>81</v>
      </c>
      <c r="E17" s="61" t="s">
        <v>80</v>
      </c>
      <c r="F17" s="48" t="s">
        <v>22</v>
      </c>
      <c r="G17" s="48"/>
      <c r="H17" s="48"/>
      <c r="I17" s="48"/>
      <c r="J17" s="49"/>
      <c r="K17" s="48"/>
      <c r="L17" s="48"/>
      <c r="M17" s="48"/>
    </row>
    <row r="18" spans="1:13" ht="115.2" x14ac:dyDescent="0.3">
      <c r="A18" s="17"/>
      <c r="B18" s="82"/>
      <c r="C18" s="17"/>
      <c r="D18" s="17" t="s">
        <v>49</v>
      </c>
      <c r="E18" s="62" t="s">
        <v>52</v>
      </c>
      <c r="F18" s="17" t="s">
        <v>22</v>
      </c>
      <c r="G18" s="17" t="s">
        <v>19</v>
      </c>
      <c r="H18" s="17" cm="1">
        <f t="array" ref="H18">_xlfn.SWITCH(G18,"XS",1,"S",2,"M",3,"L",5,"XL",8,"XXL",13,"XXXL",21,"")</f>
        <v>2</v>
      </c>
      <c r="I18" s="17">
        <f t="shared" si="0"/>
        <v>2</v>
      </c>
      <c r="J18" s="33"/>
      <c r="K18" s="17" t="s">
        <v>15</v>
      </c>
      <c r="L18" s="17"/>
      <c r="M18" s="17" t="s">
        <v>7</v>
      </c>
    </row>
    <row r="19" spans="1:13" ht="57.6" x14ac:dyDescent="0.3">
      <c r="A19" s="17"/>
      <c r="B19" s="82"/>
      <c r="C19" s="17"/>
      <c r="D19" s="17" t="s">
        <v>49</v>
      </c>
      <c r="E19" s="62" t="s">
        <v>53</v>
      </c>
      <c r="F19" s="17" t="s">
        <v>22</v>
      </c>
      <c r="G19" s="17" t="s">
        <v>25</v>
      </c>
      <c r="H19" s="17" cm="1">
        <f t="array" ref="H19">_xlfn.SWITCH(G19,"XS",1,"S",2,"M",3,"L",5,"XL",8,"XXL",13,"XXXL",21,"")</f>
        <v>1</v>
      </c>
      <c r="I19" s="17">
        <f t="shared" si="0"/>
        <v>1</v>
      </c>
      <c r="J19" s="33"/>
      <c r="K19" s="17" t="s">
        <v>15</v>
      </c>
      <c r="L19" s="17"/>
      <c r="M19" s="17" t="s">
        <v>7</v>
      </c>
    </row>
    <row r="20" spans="1:13" ht="100.8" x14ac:dyDescent="0.3">
      <c r="A20" s="10" t="s">
        <v>36</v>
      </c>
      <c r="B20" s="83">
        <v>3.3</v>
      </c>
      <c r="C20" s="10" t="s">
        <v>43</v>
      </c>
      <c r="D20" s="10" t="s">
        <v>82</v>
      </c>
      <c r="E20" s="63" t="s">
        <v>118</v>
      </c>
      <c r="F20" s="10" t="s">
        <v>28</v>
      </c>
      <c r="G20" s="10" t="s">
        <v>19</v>
      </c>
      <c r="H20" s="10" cm="1">
        <f t="array" ref="H20">_xlfn.SWITCH(G20,"XS",1,"S",2,"M",3,"L",5,"XL",8,"XXL",13,"XXXL",21,"")</f>
        <v>2</v>
      </c>
      <c r="I20" s="10">
        <f>H20</f>
        <v>2</v>
      </c>
      <c r="J20" s="28"/>
      <c r="K20" s="10" t="s">
        <v>15</v>
      </c>
      <c r="L20" s="10"/>
      <c r="M20" s="10" t="s">
        <v>7</v>
      </c>
    </row>
    <row r="21" spans="1:13" ht="72" x14ac:dyDescent="0.3">
      <c r="A21" s="10" t="s">
        <v>36</v>
      </c>
      <c r="B21" s="83">
        <v>3.3</v>
      </c>
      <c r="C21" s="10" t="s">
        <v>43</v>
      </c>
      <c r="D21" s="10" t="s">
        <v>82</v>
      </c>
      <c r="E21" s="63" t="s">
        <v>117</v>
      </c>
      <c r="F21" s="10" t="s">
        <v>8</v>
      </c>
      <c r="G21" s="10" t="s">
        <v>25</v>
      </c>
      <c r="H21" s="10" cm="1">
        <f t="array" ref="H21">_xlfn.SWITCH(G21,"XS",1,"S",2,"M",3,"L",5,"XL",8,"XXL",13,"XXXL",21,"")</f>
        <v>1</v>
      </c>
      <c r="I21" s="10">
        <f>H21</f>
        <v>1</v>
      </c>
      <c r="J21" s="27"/>
      <c r="K21" s="10" t="s">
        <v>15</v>
      </c>
      <c r="L21" s="10"/>
      <c r="M21" s="10" t="s">
        <v>7</v>
      </c>
    </row>
    <row r="22" spans="1:13" ht="43.2" x14ac:dyDescent="0.3">
      <c r="A22" s="10" t="s">
        <v>36</v>
      </c>
      <c r="B22" s="83">
        <v>3.4</v>
      </c>
      <c r="C22" s="10" t="s">
        <v>44</v>
      </c>
      <c r="D22" s="10" t="s">
        <v>82</v>
      </c>
      <c r="E22" s="63" t="s">
        <v>119</v>
      </c>
      <c r="F22" s="10" t="s">
        <v>28</v>
      </c>
      <c r="G22" s="10" t="s">
        <v>25</v>
      </c>
      <c r="H22" s="10" cm="1">
        <f t="array" ref="H22">_xlfn.SWITCH(G22,"XS",1,"S",2,"M",3,"L",5,"XL",8,"XXL",13,"XXXL",21,"")</f>
        <v>1</v>
      </c>
      <c r="I22" s="10">
        <f>H22</f>
        <v>1</v>
      </c>
      <c r="J22" s="28"/>
      <c r="K22" s="10" t="s">
        <v>15</v>
      </c>
      <c r="L22" s="10"/>
      <c r="M22" s="10" t="s">
        <v>7</v>
      </c>
    </row>
    <row r="23" spans="1:13" ht="72" x14ac:dyDescent="0.3">
      <c r="A23" s="10" t="s">
        <v>36</v>
      </c>
      <c r="B23" s="83">
        <v>3.4</v>
      </c>
      <c r="C23" s="10" t="s">
        <v>44</v>
      </c>
      <c r="D23" s="10" t="s">
        <v>82</v>
      </c>
      <c r="E23" s="63" t="s">
        <v>116</v>
      </c>
      <c r="F23" s="10" t="s">
        <v>28</v>
      </c>
      <c r="G23" s="10" t="s">
        <v>25</v>
      </c>
      <c r="H23" s="10" cm="1">
        <f t="array" ref="H23">_xlfn.SWITCH(G23,"XS",1,"S",2,"M",3,"L",5,"XL",8,"XXL",13,"XXXL",21,"")</f>
        <v>1</v>
      </c>
      <c r="I23" s="10">
        <f>H23</f>
        <v>1</v>
      </c>
      <c r="J23" s="28"/>
      <c r="K23" s="10" t="s">
        <v>15</v>
      </c>
      <c r="L23" s="10"/>
      <c r="M23" s="10" t="s">
        <v>7</v>
      </c>
    </row>
    <row r="24" spans="1:13" ht="158.4" x14ac:dyDescent="0.3">
      <c r="A24" s="11" t="s">
        <v>36</v>
      </c>
      <c r="B24" s="84">
        <v>3.3</v>
      </c>
      <c r="C24" s="11" t="s">
        <v>43</v>
      </c>
      <c r="D24" s="11" t="s">
        <v>29</v>
      </c>
      <c r="E24" s="64" t="s">
        <v>47</v>
      </c>
      <c r="F24" s="11" t="s">
        <v>8</v>
      </c>
      <c r="G24" s="11"/>
      <c r="H24" s="11" t="str" cm="1">
        <f t="array" ref="H24">_xlfn.SWITCH(G24,"XS",1,"S",2,"M",3,"L",5,"XL",8,"XXL",13,"XXXL",21,"")</f>
        <v/>
      </c>
      <c r="I24" s="11"/>
      <c r="J24" s="26"/>
      <c r="K24" s="11" t="s">
        <v>15</v>
      </c>
      <c r="L24" s="11"/>
      <c r="M24" s="11" t="s">
        <v>7</v>
      </c>
    </row>
    <row r="25" spans="1:13" ht="72" x14ac:dyDescent="0.3">
      <c r="A25" s="11" t="s">
        <v>36</v>
      </c>
      <c r="B25" s="84">
        <v>3.4</v>
      </c>
      <c r="C25" s="11" t="s">
        <v>44</v>
      </c>
      <c r="D25" s="11" t="s">
        <v>29</v>
      </c>
      <c r="E25" s="64" t="s">
        <v>48</v>
      </c>
      <c r="F25" s="11" t="s">
        <v>8</v>
      </c>
      <c r="G25" s="11"/>
      <c r="H25" s="11" t="str" cm="1">
        <f t="array" ref="H25">_xlfn.SWITCH(G25,"XS",1,"S",2,"M",3,"L",5,"XL",8,"XXL",13,"XXXL",21,"")</f>
        <v/>
      </c>
      <c r="I25" s="11"/>
      <c r="J25" s="26"/>
      <c r="K25" s="11" t="s">
        <v>15</v>
      </c>
      <c r="L25" s="11"/>
      <c r="M25" s="11" t="s">
        <v>7</v>
      </c>
    </row>
    <row r="26" spans="1:13" ht="43.2" x14ac:dyDescent="0.3">
      <c r="A26" s="48"/>
      <c r="B26" s="81"/>
      <c r="C26" s="48"/>
      <c r="D26" s="48" t="s">
        <v>81</v>
      </c>
      <c r="E26" s="61" t="s">
        <v>83</v>
      </c>
      <c r="F26" s="17" t="s">
        <v>22</v>
      </c>
      <c r="G26" s="48"/>
      <c r="H26" s="48"/>
      <c r="I26" s="48"/>
      <c r="J26" s="48"/>
      <c r="K26" s="48"/>
      <c r="L26" s="48"/>
      <c r="M26" s="48"/>
    </row>
    <row r="27" spans="1:13" s="9" customFormat="1" ht="96.6" customHeight="1" x14ac:dyDescent="0.3">
      <c r="A27" s="17"/>
      <c r="B27" s="82"/>
      <c r="C27" s="17"/>
      <c r="D27" s="17" t="s">
        <v>49</v>
      </c>
      <c r="E27" s="62" t="s">
        <v>50</v>
      </c>
      <c r="F27" s="17" t="s">
        <v>22</v>
      </c>
      <c r="G27" s="17"/>
      <c r="H27" s="17"/>
      <c r="I27" s="17"/>
      <c r="J27" s="17"/>
      <c r="K27" s="17" t="s">
        <v>15</v>
      </c>
      <c r="L27" s="17"/>
      <c r="M27" s="17" t="s">
        <v>7</v>
      </c>
    </row>
    <row r="28" spans="1:13" s="9" customFormat="1" ht="96.6" customHeight="1" x14ac:dyDescent="0.3">
      <c r="A28" s="17"/>
      <c r="B28" s="82"/>
      <c r="C28" s="17"/>
      <c r="D28" s="17" t="s">
        <v>49</v>
      </c>
      <c r="E28" s="62" t="s">
        <v>51</v>
      </c>
      <c r="F28" s="17" t="s">
        <v>22</v>
      </c>
      <c r="G28" s="17"/>
      <c r="H28" s="17"/>
      <c r="I28" s="17"/>
      <c r="J28" s="17"/>
      <c r="K28" s="17" t="s">
        <v>15</v>
      </c>
      <c r="L28" s="17"/>
      <c r="M28" s="17" t="s">
        <v>7</v>
      </c>
    </row>
    <row r="29" spans="1:13" ht="86.4" x14ac:dyDescent="0.3">
      <c r="A29" s="12" t="s">
        <v>36</v>
      </c>
      <c r="B29" s="85">
        <v>3.6</v>
      </c>
      <c r="C29" s="12" t="s">
        <v>57</v>
      </c>
      <c r="D29" s="12" t="s">
        <v>82</v>
      </c>
      <c r="E29" s="65" t="s">
        <v>120</v>
      </c>
      <c r="F29" s="44" t="s">
        <v>28</v>
      </c>
      <c r="G29" s="45"/>
      <c r="H29" s="45"/>
      <c r="I29" s="45"/>
      <c r="J29" s="52"/>
      <c r="K29" s="12"/>
      <c r="L29" s="12"/>
      <c r="M29" s="12"/>
    </row>
    <row r="30" spans="1:13" ht="72" x14ac:dyDescent="0.3">
      <c r="A30" s="12" t="s">
        <v>36</v>
      </c>
      <c r="B30" s="85">
        <v>3.5</v>
      </c>
      <c r="C30" s="12" t="s">
        <v>57</v>
      </c>
      <c r="D30" s="12" t="s">
        <v>82</v>
      </c>
      <c r="E30" s="65" t="s">
        <v>121</v>
      </c>
      <c r="F30" s="12" t="s">
        <v>28</v>
      </c>
      <c r="G30" s="52" t="s">
        <v>19</v>
      </c>
      <c r="H30" s="52" cm="1">
        <f t="array" ref="H30">_xlfn.SWITCH(G30,"XS",1,"S",2,"M",3,"L",5,"XL",8,"XXL",13,"XXXL",21,"")</f>
        <v>2</v>
      </c>
      <c r="I30" s="52">
        <f t="shared" si="0"/>
        <v>2</v>
      </c>
      <c r="J30" s="52"/>
      <c r="K30" s="12" t="s">
        <v>15</v>
      </c>
      <c r="L30" s="12"/>
      <c r="M30" s="12" t="s">
        <v>7</v>
      </c>
    </row>
    <row r="31" spans="1:13" ht="43.2" x14ac:dyDescent="0.3">
      <c r="A31" s="12" t="s">
        <v>36</v>
      </c>
      <c r="B31" s="85">
        <v>3.5</v>
      </c>
      <c r="C31" s="12" t="s">
        <v>57</v>
      </c>
      <c r="D31" s="12" t="s">
        <v>82</v>
      </c>
      <c r="E31" s="65" t="s">
        <v>125</v>
      </c>
      <c r="F31" s="52"/>
      <c r="G31" s="52"/>
      <c r="H31" s="52"/>
      <c r="I31" s="52"/>
      <c r="J31" s="52"/>
      <c r="K31" s="12" t="s">
        <v>15</v>
      </c>
      <c r="L31" s="12"/>
      <c r="M31" s="12" t="s">
        <v>7</v>
      </c>
    </row>
    <row r="32" spans="1:13" ht="43.2" x14ac:dyDescent="0.3">
      <c r="A32" s="12" t="s">
        <v>36</v>
      </c>
      <c r="B32" s="85">
        <v>3.6</v>
      </c>
      <c r="C32" s="12" t="s">
        <v>57</v>
      </c>
      <c r="D32" s="12" t="s">
        <v>82</v>
      </c>
      <c r="E32" s="65" t="s">
        <v>124</v>
      </c>
      <c r="F32" s="52"/>
      <c r="G32" s="52"/>
      <c r="H32" s="52"/>
      <c r="I32" s="52"/>
      <c r="J32" s="52"/>
      <c r="K32" s="12" t="s">
        <v>15</v>
      </c>
      <c r="L32" s="12"/>
      <c r="M32" s="12" t="s">
        <v>7</v>
      </c>
    </row>
    <row r="33" spans="1:13" ht="57.6" x14ac:dyDescent="0.3">
      <c r="A33" s="12" t="s">
        <v>36</v>
      </c>
      <c r="B33" s="85">
        <v>3.7</v>
      </c>
      <c r="C33" s="12" t="s">
        <v>57</v>
      </c>
      <c r="D33" s="12" t="s">
        <v>82</v>
      </c>
      <c r="E33" s="65" t="s">
        <v>123</v>
      </c>
      <c r="F33" s="52"/>
      <c r="G33" s="52"/>
      <c r="H33" s="52"/>
      <c r="I33" s="52"/>
      <c r="J33" s="52"/>
      <c r="K33" s="12" t="s">
        <v>15</v>
      </c>
      <c r="L33" s="12"/>
      <c r="M33" s="12" t="s">
        <v>7</v>
      </c>
    </row>
    <row r="34" spans="1:13" ht="43.2" x14ac:dyDescent="0.3">
      <c r="A34" s="12" t="s">
        <v>36</v>
      </c>
      <c r="B34" s="85">
        <v>3.8</v>
      </c>
      <c r="C34" s="12" t="s">
        <v>57</v>
      </c>
      <c r="D34" s="12" t="s">
        <v>82</v>
      </c>
      <c r="E34" s="65" t="s">
        <v>122</v>
      </c>
      <c r="F34" s="45"/>
      <c r="G34" s="12"/>
      <c r="H34" s="12"/>
      <c r="I34" s="12"/>
      <c r="J34" s="52"/>
      <c r="K34" s="12"/>
      <c r="L34" s="12"/>
      <c r="M34" s="12"/>
    </row>
    <row r="35" spans="1:13" ht="28.8" x14ac:dyDescent="0.3">
      <c r="A35" s="13" t="s">
        <v>36</v>
      </c>
      <c r="B35" s="86">
        <v>3.5</v>
      </c>
      <c r="C35" s="13" t="s">
        <v>57</v>
      </c>
      <c r="D35" s="13" t="s">
        <v>29</v>
      </c>
      <c r="E35" s="66" t="s">
        <v>84</v>
      </c>
      <c r="F35" s="53" t="s">
        <v>8</v>
      </c>
      <c r="G35" s="53" t="s">
        <v>21</v>
      </c>
      <c r="H35" s="53" cm="1">
        <f t="array" ref="H35">_xlfn.SWITCH(G35,"XS",1,"S",2,"M",3,"L",5,"XL",8,"XXL",13,"XXXL",21,"")</f>
        <v>8</v>
      </c>
      <c r="I35" s="53">
        <f t="shared" si="0"/>
        <v>8</v>
      </c>
      <c r="J35" s="52"/>
      <c r="K35" s="13" t="s">
        <v>15</v>
      </c>
      <c r="L35" s="13"/>
      <c r="M35" s="13" t="s">
        <v>7</v>
      </c>
    </row>
    <row r="36" spans="1:13" ht="115.2" x14ac:dyDescent="0.3">
      <c r="A36" s="13" t="s">
        <v>36</v>
      </c>
      <c r="B36" s="86">
        <v>3.5</v>
      </c>
      <c r="C36" s="13" t="s">
        <v>57</v>
      </c>
      <c r="D36" s="13" t="s">
        <v>29</v>
      </c>
      <c r="E36" s="66" t="s">
        <v>86</v>
      </c>
      <c r="F36" s="53"/>
      <c r="G36" s="53"/>
      <c r="H36" s="53"/>
      <c r="I36" s="53"/>
      <c r="J36" s="52"/>
      <c r="K36" s="13" t="s">
        <v>15</v>
      </c>
      <c r="L36" s="13"/>
      <c r="M36" s="13" t="s">
        <v>7</v>
      </c>
    </row>
    <row r="37" spans="1:13" ht="40.799999999999997" customHeight="1" x14ac:dyDescent="0.3">
      <c r="A37" s="13" t="s">
        <v>36</v>
      </c>
      <c r="B37" s="86">
        <v>3.6</v>
      </c>
      <c r="C37" s="13" t="s">
        <v>57</v>
      </c>
      <c r="D37" s="13" t="s">
        <v>29</v>
      </c>
      <c r="E37" s="66" t="s">
        <v>54</v>
      </c>
      <c r="F37" s="53"/>
      <c r="G37" s="53"/>
      <c r="H37" s="53"/>
      <c r="I37" s="53"/>
      <c r="J37" s="52"/>
      <c r="K37" s="13" t="s">
        <v>15</v>
      </c>
      <c r="L37" s="13"/>
      <c r="M37" s="13" t="s">
        <v>7</v>
      </c>
    </row>
    <row r="38" spans="1:13" ht="28.8" x14ac:dyDescent="0.3">
      <c r="A38" s="13" t="s">
        <v>36</v>
      </c>
      <c r="B38" s="86">
        <v>3.7</v>
      </c>
      <c r="C38" s="13" t="s">
        <v>57</v>
      </c>
      <c r="D38" s="13" t="s">
        <v>29</v>
      </c>
      <c r="E38" s="67" t="s">
        <v>55</v>
      </c>
      <c r="F38" s="53"/>
      <c r="G38" s="53"/>
      <c r="H38" s="53"/>
      <c r="I38" s="53"/>
      <c r="J38" s="52"/>
      <c r="K38" s="13" t="s">
        <v>15</v>
      </c>
      <c r="L38" s="13"/>
      <c r="M38" s="13" t="s">
        <v>7</v>
      </c>
    </row>
    <row r="39" spans="1:13" ht="28.8" x14ac:dyDescent="0.3">
      <c r="A39" s="13"/>
      <c r="B39" s="86">
        <v>3.8</v>
      </c>
      <c r="C39" s="13" t="s">
        <v>57</v>
      </c>
      <c r="D39" s="13" t="s">
        <v>29</v>
      </c>
      <c r="E39" s="67" t="s">
        <v>58</v>
      </c>
      <c r="F39" s="31"/>
      <c r="G39" s="31"/>
      <c r="H39" s="31"/>
      <c r="I39" s="31"/>
      <c r="J39" s="29"/>
      <c r="K39" s="13" t="s">
        <v>15</v>
      </c>
      <c r="L39" s="13"/>
      <c r="M39" s="13" t="s">
        <v>7</v>
      </c>
    </row>
    <row r="40" spans="1:13" ht="75" customHeight="1" x14ac:dyDescent="0.3">
      <c r="A40" s="48"/>
      <c r="B40" s="81"/>
      <c r="C40" s="48"/>
      <c r="D40" s="48" t="s">
        <v>81</v>
      </c>
      <c r="E40" s="68" t="s">
        <v>85</v>
      </c>
      <c r="F40" s="50"/>
      <c r="G40" s="50"/>
      <c r="H40" s="50"/>
      <c r="I40" s="50"/>
      <c r="J40" s="50"/>
      <c r="K40" s="48"/>
      <c r="L40" s="48"/>
      <c r="M40" s="48"/>
    </row>
    <row r="41" spans="1:13" s="9" customFormat="1" ht="100.8" x14ac:dyDescent="0.3">
      <c r="A41" s="17" t="s">
        <v>36</v>
      </c>
      <c r="B41" s="82"/>
      <c r="C41" s="17"/>
      <c r="D41" s="17" t="s">
        <v>49</v>
      </c>
      <c r="E41" s="69" t="s">
        <v>78</v>
      </c>
      <c r="F41" s="17" t="s">
        <v>22</v>
      </c>
      <c r="G41" s="17" t="s">
        <v>19</v>
      </c>
      <c r="H41" s="13" cm="1">
        <f t="array" ref="H41">_xlfn.SWITCH(G41,"XS",1,"S",2,"M",3,"L",5,"XL",8,"XXL",13,"XXXL",21,"")</f>
        <v>2</v>
      </c>
      <c r="I41" s="13">
        <f t="shared" ref="I41:I44" si="1">H41</f>
        <v>2</v>
      </c>
      <c r="J41" s="17"/>
      <c r="K41" s="17" t="s">
        <v>15</v>
      </c>
      <c r="L41" s="17"/>
      <c r="M41" s="17" t="s">
        <v>7</v>
      </c>
    </row>
    <row r="42" spans="1:13" s="9" customFormat="1" ht="57.6" x14ac:dyDescent="0.3">
      <c r="A42" s="17" t="s">
        <v>36</v>
      </c>
      <c r="B42" s="82"/>
      <c r="C42" s="17"/>
      <c r="D42" s="17" t="s">
        <v>49</v>
      </c>
      <c r="E42" s="69" t="s">
        <v>56</v>
      </c>
      <c r="F42" s="17" t="s">
        <v>22</v>
      </c>
      <c r="G42" s="17" t="s">
        <v>19</v>
      </c>
      <c r="H42" s="13" cm="1">
        <f t="array" ref="H42">_xlfn.SWITCH(G42,"XS",1,"S",2,"M",3,"L",5,"XL",8,"XXL",13,"XXXL",21,"")</f>
        <v>2</v>
      </c>
      <c r="I42" s="13">
        <f t="shared" si="1"/>
        <v>2</v>
      </c>
      <c r="J42" s="17"/>
      <c r="K42" s="17" t="s">
        <v>15</v>
      </c>
      <c r="L42" s="17"/>
      <c r="M42" s="17" t="s">
        <v>7</v>
      </c>
    </row>
    <row r="43" spans="1:13" ht="72" x14ac:dyDescent="0.3">
      <c r="A43" s="15" t="s">
        <v>36</v>
      </c>
      <c r="B43" s="87">
        <v>3.9</v>
      </c>
      <c r="C43" s="15" t="s">
        <v>59</v>
      </c>
      <c r="D43" s="15" t="s">
        <v>82</v>
      </c>
      <c r="E43" s="54" t="s">
        <v>129</v>
      </c>
      <c r="F43" s="39"/>
      <c r="G43" s="39"/>
      <c r="H43" s="39"/>
      <c r="I43" s="39"/>
      <c r="J43" s="39"/>
      <c r="K43" s="15" t="s">
        <v>15</v>
      </c>
      <c r="L43" s="15"/>
      <c r="M43" s="15" t="s">
        <v>7</v>
      </c>
    </row>
    <row r="44" spans="1:13" ht="144" x14ac:dyDescent="0.3">
      <c r="A44" s="15" t="s">
        <v>36</v>
      </c>
      <c r="B44" s="87">
        <v>3.9</v>
      </c>
      <c r="C44" s="15" t="s">
        <v>59</v>
      </c>
      <c r="D44" s="15" t="s">
        <v>82</v>
      </c>
      <c r="E44" s="54" t="s">
        <v>135</v>
      </c>
      <c r="F44" s="38" t="s">
        <v>28</v>
      </c>
      <c r="G44" s="38" t="s">
        <v>20</v>
      </c>
      <c r="H44" s="38" cm="1">
        <f t="array" ref="H44">_xlfn.SWITCH(G44,"XS",1,"S",2,"M",3,"L",5,"XL",8,"XXL",13,"XXXL",21,"")</f>
        <v>3</v>
      </c>
      <c r="I44" s="38">
        <f t="shared" si="1"/>
        <v>3</v>
      </c>
      <c r="J44" s="38">
        <v>11</v>
      </c>
      <c r="K44" s="15" t="s">
        <v>15</v>
      </c>
      <c r="L44" s="15"/>
      <c r="M44" s="15" t="s">
        <v>7</v>
      </c>
    </row>
    <row r="45" spans="1:13" ht="100.8" x14ac:dyDescent="0.3">
      <c r="A45" s="15" t="s">
        <v>36</v>
      </c>
      <c r="B45" s="87">
        <v>3.9</v>
      </c>
      <c r="C45" s="15" t="s">
        <v>60</v>
      </c>
      <c r="D45" s="15" t="s">
        <v>82</v>
      </c>
      <c r="E45" s="54" t="s">
        <v>130</v>
      </c>
      <c r="F45" s="40"/>
      <c r="G45" s="40"/>
      <c r="H45" s="40"/>
      <c r="I45" s="40"/>
      <c r="J45" s="39"/>
      <c r="K45" s="15" t="s">
        <v>15</v>
      </c>
      <c r="L45" s="15"/>
      <c r="M45" s="15" t="s">
        <v>7</v>
      </c>
    </row>
    <row r="46" spans="1:13" ht="86.4" x14ac:dyDescent="0.3">
      <c r="A46" s="15" t="s">
        <v>36</v>
      </c>
      <c r="B46" s="87">
        <v>3.9</v>
      </c>
      <c r="C46" s="15" t="s">
        <v>60</v>
      </c>
      <c r="D46" s="15" t="s">
        <v>82</v>
      </c>
      <c r="E46" s="54" t="s">
        <v>126</v>
      </c>
      <c r="F46" s="39"/>
      <c r="G46" s="39"/>
      <c r="H46" s="39"/>
      <c r="I46" s="39"/>
      <c r="J46" s="39"/>
      <c r="K46" s="15" t="s">
        <v>15</v>
      </c>
      <c r="L46" s="15"/>
      <c r="M46" s="15" t="s">
        <v>7</v>
      </c>
    </row>
    <row r="47" spans="1:13" ht="131.4" customHeight="1" x14ac:dyDescent="0.3">
      <c r="A47" s="14" t="s">
        <v>36</v>
      </c>
      <c r="B47" s="88">
        <v>3.9</v>
      </c>
      <c r="C47" s="14" t="s">
        <v>59</v>
      </c>
      <c r="D47" s="14" t="s">
        <v>29</v>
      </c>
      <c r="E47" s="55" t="s">
        <v>87</v>
      </c>
      <c r="F47" s="14" t="s">
        <v>8</v>
      </c>
      <c r="G47" s="14" t="s">
        <v>19</v>
      </c>
      <c r="H47" s="14" cm="1">
        <f t="array" ref="H47">_xlfn.SWITCH(G47,"XS",1,"S",2,"M",3,"L",5,"XL",8,"XXL",13,"XXXL",21,"")</f>
        <v>2</v>
      </c>
      <c r="I47" s="14">
        <f t="shared" ref="I47:I69" si="2">H47</f>
        <v>2</v>
      </c>
      <c r="J47" s="39"/>
      <c r="K47" s="15"/>
      <c r="L47" s="15"/>
      <c r="M47" s="15"/>
    </row>
    <row r="48" spans="1:13" ht="230.4" x14ac:dyDescent="0.3">
      <c r="A48" s="14" t="s">
        <v>36</v>
      </c>
      <c r="B48" s="88">
        <v>3.9</v>
      </c>
      <c r="C48" s="14" t="s">
        <v>59</v>
      </c>
      <c r="D48" s="14" t="s">
        <v>29</v>
      </c>
      <c r="E48" s="55" t="s">
        <v>89</v>
      </c>
      <c r="F48" s="14" t="s">
        <v>8</v>
      </c>
      <c r="G48" s="14" t="s">
        <v>24</v>
      </c>
      <c r="H48" s="14" cm="1">
        <f t="array" ref="H48">_xlfn.SWITCH(G48,"XS",1,"S",2,"M",3,"L",5,"XL",8,"XXL",13,"XXXL",21,"")</f>
        <v>5</v>
      </c>
      <c r="I48" s="14">
        <f t="shared" si="2"/>
        <v>5</v>
      </c>
      <c r="J48" s="39"/>
      <c r="K48" s="14" t="s">
        <v>15</v>
      </c>
      <c r="L48" s="14"/>
      <c r="M48" s="14" t="s">
        <v>7</v>
      </c>
    </row>
    <row r="49" spans="1:13" ht="115.2" x14ac:dyDescent="0.3">
      <c r="A49" s="14" t="s">
        <v>36</v>
      </c>
      <c r="B49" s="88">
        <v>3.9</v>
      </c>
      <c r="C49" s="14" t="s">
        <v>60</v>
      </c>
      <c r="D49" s="14" t="s">
        <v>29</v>
      </c>
      <c r="E49" s="55" t="s">
        <v>61</v>
      </c>
      <c r="F49" s="14" t="s">
        <v>8</v>
      </c>
      <c r="G49" s="14" t="s">
        <v>19</v>
      </c>
      <c r="H49" s="14" cm="1">
        <f t="array" ref="H49">_xlfn.SWITCH(G49,"XS",1,"S",2,"M",3,"L",5,"XL",8,"XXL",13,"XXXL",21,"")</f>
        <v>2</v>
      </c>
      <c r="I49" s="14">
        <f t="shared" si="2"/>
        <v>2</v>
      </c>
      <c r="J49" s="40"/>
      <c r="K49" s="14" t="s">
        <v>15</v>
      </c>
      <c r="L49" s="14"/>
      <c r="M49" s="14" t="s">
        <v>7</v>
      </c>
    </row>
    <row r="50" spans="1:13" ht="57.6" x14ac:dyDescent="0.3">
      <c r="A50" s="14" t="s">
        <v>36</v>
      </c>
      <c r="B50" s="88">
        <v>3.9</v>
      </c>
      <c r="C50" s="14" t="s">
        <v>60</v>
      </c>
      <c r="D50" s="14" t="s">
        <v>29</v>
      </c>
      <c r="E50" s="55" t="s">
        <v>62</v>
      </c>
      <c r="F50" s="14" t="s">
        <v>8</v>
      </c>
      <c r="G50" s="14" t="s">
        <v>25</v>
      </c>
      <c r="H50" s="14" cm="1">
        <f t="array" ref="H50">_xlfn.SWITCH(G50,"XS",1,"S",2,"M",3,"L",5,"XL",8,"XXL",13,"XXXL",21,"")</f>
        <v>1</v>
      </c>
      <c r="I50" s="14">
        <f t="shared" si="2"/>
        <v>1</v>
      </c>
      <c r="J50" s="30"/>
      <c r="K50" s="14" t="s">
        <v>15</v>
      </c>
      <c r="L50" s="14"/>
      <c r="M50" s="14" t="s">
        <v>7</v>
      </c>
    </row>
    <row r="51" spans="1:13" ht="43.2" x14ac:dyDescent="0.3">
      <c r="A51" s="48"/>
      <c r="B51" s="81"/>
      <c r="C51" s="48"/>
      <c r="D51" s="48" t="s">
        <v>81</v>
      </c>
      <c r="E51" s="68" t="s">
        <v>108</v>
      </c>
      <c r="F51" s="48"/>
      <c r="G51" s="48"/>
      <c r="H51" s="48"/>
      <c r="I51" s="48"/>
      <c r="J51" s="49"/>
      <c r="K51" s="48"/>
      <c r="L51" s="48"/>
      <c r="M51" s="48"/>
    </row>
    <row r="52" spans="1:13" s="9" customFormat="1" ht="86.4" x14ac:dyDescent="0.3">
      <c r="A52" s="17"/>
      <c r="B52" s="82"/>
      <c r="C52" s="17"/>
      <c r="D52" s="17" t="s">
        <v>49</v>
      </c>
      <c r="E52" s="62" t="s">
        <v>63</v>
      </c>
      <c r="F52" s="17" t="s">
        <v>22</v>
      </c>
      <c r="G52" s="17" t="s">
        <v>19</v>
      </c>
      <c r="H52" s="17" cm="1">
        <f t="array" ref="H52">_xlfn.SWITCH(G52,"XS",1,"S",2,"M",3,"L",5,"XL",8,"XXL",13,"XXXL",21,"")</f>
        <v>2</v>
      </c>
      <c r="I52" s="17">
        <f t="shared" si="2"/>
        <v>2</v>
      </c>
      <c r="J52" s="33"/>
      <c r="K52" s="17" t="s">
        <v>15</v>
      </c>
      <c r="L52" s="17"/>
      <c r="M52" s="17" t="s">
        <v>7</v>
      </c>
    </row>
    <row r="53" spans="1:13" s="9" customFormat="1" ht="43.2" x14ac:dyDescent="0.3">
      <c r="A53" s="17"/>
      <c r="B53" s="82"/>
      <c r="C53" s="17"/>
      <c r="D53" s="17" t="s">
        <v>49</v>
      </c>
      <c r="E53" s="62" t="s">
        <v>64</v>
      </c>
      <c r="F53" s="17" t="s">
        <v>22</v>
      </c>
      <c r="G53" s="17" t="s">
        <v>19</v>
      </c>
      <c r="H53" s="17" cm="1">
        <f t="array" ref="H53">_xlfn.SWITCH(G53,"XS",1,"S",2,"M",3,"L",5,"XL",8,"XXL",13,"XXXL",21,"")</f>
        <v>2</v>
      </c>
      <c r="I53" s="17">
        <f t="shared" si="2"/>
        <v>2</v>
      </c>
      <c r="J53" s="33"/>
      <c r="K53" s="17" t="s">
        <v>15</v>
      </c>
      <c r="L53" s="17"/>
      <c r="M53" s="17" t="s">
        <v>7</v>
      </c>
    </row>
    <row r="54" spans="1:13" ht="86.4" x14ac:dyDescent="0.3">
      <c r="A54" s="16" t="s">
        <v>36</v>
      </c>
      <c r="B54" s="89" t="s">
        <v>65</v>
      </c>
      <c r="C54" s="16" t="s">
        <v>59</v>
      </c>
      <c r="D54" s="16" t="s">
        <v>27</v>
      </c>
      <c r="E54" s="70" t="s">
        <v>134</v>
      </c>
      <c r="F54" s="16" t="s">
        <v>28</v>
      </c>
      <c r="G54" s="16" t="s">
        <v>25</v>
      </c>
      <c r="H54" s="16" cm="1">
        <f t="array" ref="H54">_xlfn.SWITCH(G54,"XS",1,"S",2,"M",3,"L",5,"XL",8,"XXL",13,"XXXL",21,"")</f>
        <v>1</v>
      </c>
      <c r="I54" s="16">
        <f>H54</f>
        <v>1</v>
      </c>
      <c r="J54" s="43"/>
      <c r="K54" s="16" t="s">
        <v>15</v>
      </c>
      <c r="L54" s="16"/>
      <c r="M54" s="16" t="s">
        <v>7</v>
      </c>
    </row>
    <row r="55" spans="1:13" ht="57.6" x14ac:dyDescent="0.3">
      <c r="A55" s="16" t="s">
        <v>36</v>
      </c>
      <c r="B55" s="89" t="s">
        <v>65</v>
      </c>
      <c r="C55" s="16" t="s">
        <v>67</v>
      </c>
      <c r="D55" s="16" t="s">
        <v>27</v>
      </c>
      <c r="E55" s="70" t="s">
        <v>133</v>
      </c>
      <c r="F55" s="16"/>
      <c r="G55" s="16"/>
      <c r="H55" s="16"/>
      <c r="I55" s="16"/>
      <c r="J55" s="43"/>
      <c r="K55" s="16"/>
      <c r="L55" s="16"/>
      <c r="M55" s="16"/>
    </row>
    <row r="56" spans="1:13" ht="115.2" x14ac:dyDescent="0.3">
      <c r="A56" s="16" t="s">
        <v>36</v>
      </c>
      <c r="B56" s="89" t="s">
        <v>65</v>
      </c>
      <c r="C56" s="16" t="s">
        <v>68</v>
      </c>
      <c r="D56" s="16" t="s">
        <v>27</v>
      </c>
      <c r="E56" s="70" t="s">
        <v>132</v>
      </c>
      <c r="F56" s="16"/>
      <c r="G56" s="16"/>
      <c r="H56" s="16"/>
      <c r="I56" s="16"/>
      <c r="J56" s="43"/>
      <c r="K56" s="16"/>
      <c r="L56" s="16"/>
      <c r="M56" s="16"/>
    </row>
    <row r="57" spans="1:13" ht="100.8" x14ac:dyDescent="0.3">
      <c r="A57" s="16" t="s">
        <v>36</v>
      </c>
      <c r="B57" s="89" t="s">
        <v>65</v>
      </c>
      <c r="C57" s="16" t="s">
        <v>68</v>
      </c>
      <c r="D57" s="16" t="s">
        <v>27</v>
      </c>
      <c r="E57" s="70" t="s">
        <v>131</v>
      </c>
      <c r="F57" s="16" t="s">
        <v>28</v>
      </c>
      <c r="G57" s="16" t="s">
        <v>25</v>
      </c>
      <c r="H57" s="16" cm="1">
        <f t="array" ref="H57">_xlfn.SWITCH(G57,"XS",1,"S",2,"M",3,"L",5,"XL",8,"XXL",13,"XXXL",21,"")</f>
        <v>1</v>
      </c>
      <c r="I57" s="16">
        <f t="shared" si="2"/>
        <v>1</v>
      </c>
      <c r="J57" s="42">
        <v>27</v>
      </c>
      <c r="K57" s="16" t="s">
        <v>15</v>
      </c>
      <c r="L57" s="16"/>
      <c r="M57" s="16" t="s">
        <v>7</v>
      </c>
    </row>
    <row r="58" spans="1:13" ht="28.8" x14ac:dyDescent="0.3">
      <c r="A58" s="16" t="s">
        <v>36</v>
      </c>
      <c r="B58" s="89"/>
      <c r="C58" s="16"/>
      <c r="D58" s="16" t="s">
        <v>27</v>
      </c>
      <c r="E58" s="70"/>
      <c r="F58" s="16" t="s">
        <v>28</v>
      </c>
      <c r="G58" s="16" t="s">
        <v>25</v>
      </c>
      <c r="H58" s="16" cm="1">
        <f t="array" ref="H58">_xlfn.SWITCH(G58,"XS",1,"S",2,"M",3,"L",5,"XL",8,"XXL",13,"XXXL",21,"")</f>
        <v>1</v>
      </c>
      <c r="I58" s="16">
        <f t="shared" si="2"/>
        <v>1</v>
      </c>
      <c r="J58" s="43"/>
      <c r="K58" s="16" t="s">
        <v>15</v>
      </c>
      <c r="L58" s="16"/>
      <c r="M58" s="16" t="s">
        <v>7</v>
      </c>
    </row>
    <row r="59" spans="1:13" ht="100.8" x14ac:dyDescent="0.3">
      <c r="A59" s="18" t="s">
        <v>36</v>
      </c>
      <c r="B59" s="41" t="s">
        <v>65</v>
      </c>
      <c r="C59" s="18" t="s">
        <v>59</v>
      </c>
      <c r="D59" s="18" t="s">
        <v>29</v>
      </c>
      <c r="E59" s="71" t="s">
        <v>88</v>
      </c>
      <c r="F59" s="18" t="s">
        <v>8</v>
      </c>
      <c r="G59" s="18" t="s">
        <v>19</v>
      </c>
      <c r="H59" s="18" cm="1">
        <f t="array" ref="H59">_xlfn.SWITCH(G59,"XS",1,"S",2,"M",3,"L",5,"XL",8,"XXL",13,"XXXL",21,"")</f>
        <v>2</v>
      </c>
      <c r="I59" s="18">
        <f t="shared" si="2"/>
        <v>2</v>
      </c>
      <c r="J59" s="43"/>
      <c r="K59" s="18" t="s">
        <v>15</v>
      </c>
      <c r="L59" s="18"/>
      <c r="M59" s="18" t="s">
        <v>7</v>
      </c>
    </row>
    <row r="60" spans="1:13" ht="86.4" x14ac:dyDescent="0.3">
      <c r="A60" s="18" t="s">
        <v>36</v>
      </c>
      <c r="B60" s="41" t="s">
        <v>65</v>
      </c>
      <c r="C60" s="18" t="s">
        <v>59</v>
      </c>
      <c r="D60" s="18" t="s">
        <v>29</v>
      </c>
      <c r="E60" s="71" t="s">
        <v>101</v>
      </c>
      <c r="F60" s="18" t="s">
        <v>8</v>
      </c>
      <c r="G60" s="18" t="s">
        <v>25</v>
      </c>
      <c r="H60" s="18" cm="1">
        <f t="array" ref="H60">_xlfn.SWITCH(G60,"XS",1,"S",2,"M",3,"L",5,"XL",8,"XXL",13,"XXXL",21,"")</f>
        <v>1</v>
      </c>
      <c r="I60" s="18">
        <f t="shared" si="2"/>
        <v>1</v>
      </c>
      <c r="J60" s="43"/>
      <c r="K60" s="18" t="s">
        <v>15</v>
      </c>
      <c r="L60" s="18"/>
      <c r="M60" s="18" t="s">
        <v>7</v>
      </c>
    </row>
    <row r="61" spans="1:13" ht="129.6" x14ac:dyDescent="0.3">
      <c r="A61" s="18" t="s">
        <v>36</v>
      </c>
      <c r="B61" s="41" t="s">
        <v>65</v>
      </c>
      <c r="C61" s="18" t="s">
        <v>67</v>
      </c>
      <c r="D61" s="18" t="s">
        <v>29</v>
      </c>
      <c r="E61" s="72" t="s">
        <v>102</v>
      </c>
      <c r="F61" s="18" t="s">
        <v>23</v>
      </c>
      <c r="G61" s="18" t="s">
        <v>20</v>
      </c>
      <c r="H61" s="18" cm="1">
        <f t="array" ref="H61">_xlfn.SWITCH(G61,"XS",1,"S",2,"M",3,"L",5,"XL",8,"XXL",13,"XXXL",21,"")</f>
        <v>3</v>
      </c>
      <c r="I61" s="18">
        <f t="shared" si="2"/>
        <v>3</v>
      </c>
      <c r="J61" s="43"/>
      <c r="K61" s="18" t="s">
        <v>15</v>
      </c>
      <c r="L61" s="18"/>
      <c r="M61" s="18" t="s">
        <v>7</v>
      </c>
    </row>
    <row r="62" spans="1:13" ht="144" x14ac:dyDescent="0.3">
      <c r="A62" s="18" t="s">
        <v>36</v>
      </c>
      <c r="B62" s="41" t="s">
        <v>65</v>
      </c>
      <c r="C62" s="18" t="s">
        <v>68</v>
      </c>
      <c r="D62" s="18" t="s">
        <v>29</v>
      </c>
      <c r="E62" s="72" t="s">
        <v>105</v>
      </c>
      <c r="F62" s="18" t="s">
        <v>8</v>
      </c>
      <c r="G62" s="18" t="s">
        <v>25</v>
      </c>
      <c r="H62" s="18" cm="1">
        <f t="array" ref="H62">_xlfn.SWITCH(G62,"XS",1,"S",2,"M",3,"L",5,"XL",8,"XXL",13,"XXXL",21,"")</f>
        <v>1</v>
      </c>
      <c r="I62" s="18">
        <f t="shared" si="2"/>
        <v>1</v>
      </c>
      <c r="J62" s="43"/>
      <c r="K62" s="18" t="s">
        <v>15</v>
      </c>
      <c r="L62" s="18"/>
      <c r="M62" s="18" t="s">
        <v>7</v>
      </c>
    </row>
    <row r="63" spans="1:13" ht="115.2" x14ac:dyDescent="0.3">
      <c r="A63" s="18" t="s">
        <v>36</v>
      </c>
      <c r="B63" s="41">
        <v>3.11</v>
      </c>
      <c r="C63" s="18" t="s">
        <v>69</v>
      </c>
      <c r="D63" s="18" t="s">
        <v>29</v>
      </c>
      <c r="E63" s="71" t="s">
        <v>90</v>
      </c>
      <c r="F63" s="18" t="s">
        <v>8</v>
      </c>
      <c r="G63" s="18" t="s">
        <v>25</v>
      </c>
      <c r="H63" s="18" cm="1">
        <f t="array" ref="H63">_xlfn.SWITCH(G63,"XS",1,"S",2,"M",3,"L",5,"XL",8,"XXL",13,"XXXL",21,"")</f>
        <v>1</v>
      </c>
      <c r="I63" s="18">
        <f t="shared" si="2"/>
        <v>1</v>
      </c>
      <c r="J63" s="43"/>
      <c r="K63" s="18" t="s">
        <v>15</v>
      </c>
      <c r="L63" s="18"/>
      <c r="M63" s="18" t="s">
        <v>7</v>
      </c>
    </row>
    <row r="64" spans="1:13" ht="72" x14ac:dyDescent="0.3">
      <c r="A64" s="18" t="s">
        <v>36</v>
      </c>
      <c r="B64" s="41">
        <v>3.11</v>
      </c>
      <c r="C64" s="18" t="s">
        <v>69</v>
      </c>
      <c r="D64" s="18" t="s">
        <v>29</v>
      </c>
      <c r="E64" s="71" t="s">
        <v>73</v>
      </c>
      <c r="F64" s="18" t="s">
        <v>8</v>
      </c>
      <c r="G64" s="18" t="s">
        <v>24</v>
      </c>
      <c r="H64" s="18" cm="1">
        <f t="array" ref="H64">_xlfn.SWITCH(G64,"XS",1,"S",2,"M",3,"L",5,"XL",8,"XXL",13,"XXXL",21,"")</f>
        <v>5</v>
      </c>
      <c r="I64" s="18">
        <f t="shared" si="2"/>
        <v>5</v>
      </c>
      <c r="J64" s="43"/>
      <c r="K64" s="18" t="s">
        <v>15</v>
      </c>
      <c r="L64" s="18"/>
      <c r="M64" s="18" t="s">
        <v>7</v>
      </c>
    </row>
    <row r="65" spans="1:13" ht="158.4" x14ac:dyDescent="0.3">
      <c r="A65" s="18" t="s">
        <v>36</v>
      </c>
      <c r="B65" s="41">
        <v>3.11</v>
      </c>
      <c r="C65" s="18" t="s">
        <v>70</v>
      </c>
      <c r="D65" s="18" t="s">
        <v>29</v>
      </c>
      <c r="E65" s="71" t="s">
        <v>104</v>
      </c>
      <c r="F65" s="18" t="s">
        <v>8</v>
      </c>
      <c r="G65" s="18" t="s">
        <v>20</v>
      </c>
      <c r="H65" s="18" cm="1">
        <f t="array" ref="H65">_xlfn.SWITCH(G65,"XS",1,"S",2,"M",3,"L",5,"XL",8,"XXL",13,"XXXL",21,"")</f>
        <v>3</v>
      </c>
      <c r="I65" s="18">
        <f t="shared" si="2"/>
        <v>3</v>
      </c>
      <c r="J65" s="43"/>
      <c r="K65" s="18" t="s">
        <v>15</v>
      </c>
      <c r="L65" s="18"/>
      <c r="M65" s="18" t="s">
        <v>7</v>
      </c>
    </row>
    <row r="66" spans="1:13" ht="57.6" x14ac:dyDescent="0.3">
      <c r="A66" s="18" t="s">
        <v>36</v>
      </c>
      <c r="B66" s="41">
        <v>3.11</v>
      </c>
      <c r="C66" s="18" t="s">
        <v>71</v>
      </c>
      <c r="D66" s="18" t="s">
        <v>29</v>
      </c>
      <c r="E66" s="71" t="s">
        <v>66</v>
      </c>
      <c r="F66" s="18" t="s">
        <v>8</v>
      </c>
      <c r="G66" s="18" t="s">
        <v>25</v>
      </c>
      <c r="H66" s="18" cm="1">
        <f t="array" ref="H66">_xlfn.SWITCH(G66,"XS",1,"S",2,"M",3,"L",5,"XL",8,"XXL",13,"XXXL",21,"")</f>
        <v>1</v>
      </c>
      <c r="I66" s="18">
        <f t="shared" si="2"/>
        <v>1</v>
      </c>
      <c r="J66" s="43"/>
      <c r="K66" s="18" t="s">
        <v>15</v>
      </c>
      <c r="L66" s="18"/>
      <c r="M66" s="18" t="s">
        <v>7</v>
      </c>
    </row>
    <row r="67" spans="1:13" s="9" customFormat="1" ht="100.8" x14ac:dyDescent="0.3">
      <c r="A67" s="17" t="s">
        <v>36</v>
      </c>
      <c r="B67" s="82"/>
      <c r="C67" s="17"/>
      <c r="D67" s="17" t="s">
        <v>49</v>
      </c>
      <c r="E67" s="62" t="s">
        <v>77</v>
      </c>
      <c r="F67" s="17" t="s">
        <v>22</v>
      </c>
      <c r="G67" s="17" t="s">
        <v>25</v>
      </c>
      <c r="H67" s="17" cm="1">
        <f t="array" ref="H67">_xlfn.SWITCH(G67,"XS",1,"S",2,"M",3,"L",5,"XL",8,"XXL",13,"XXXL",21,"")</f>
        <v>1</v>
      </c>
      <c r="I67" s="17">
        <f t="shared" si="2"/>
        <v>1</v>
      </c>
      <c r="J67" s="33"/>
      <c r="K67" s="17" t="s">
        <v>15</v>
      </c>
      <c r="L67" s="17"/>
      <c r="M67" s="17" t="s">
        <v>7</v>
      </c>
    </row>
    <row r="68" spans="1:13" s="9" customFormat="1" ht="46.2" customHeight="1" x14ac:dyDescent="0.3">
      <c r="A68" s="17" t="s">
        <v>36</v>
      </c>
      <c r="B68" s="82"/>
      <c r="C68" s="17"/>
      <c r="D68" s="17" t="s">
        <v>49</v>
      </c>
      <c r="E68" s="62" t="s">
        <v>76</v>
      </c>
      <c r="F68" s="17" t="s">
        <v>22</v>
      </c>
      <c r="G68" s="17" t="s">
        <v>25</v>
      </c>
      <c r="H68" s="17" cm="1">
        <f t="array" ref="H68">_xlfn.SWITCH(G68,"XS",1,"S",2,"M",3,"L",5,"XL",8,"XXL",13,"XXXL",21,"")</f>
        <v>1</v>
      </c>
      <c r="I68" s="17">
        <f t="shared" si="2"/>
        <v>1</v>
      </c>
      <c r="J68" s="33"/>
      <c r="K68" s="17" t="s">
        <v>15</v>
      </c>
      <c r="L68" s="17"/>
      <c r="M68" s="17" t="s">
        <v>7</v>
      </c>
    </row>
    <row r="69" spans="1:13" s="9" customFormat="1" ht="57.6" x14ac:dyDescent="0.3">
      <c r="A69" s="17" t="s">
        <v>36</v>
      </c>
      <c r="B69" s="82"/>
      <c r="C69" s="17"/>
      <c r="D69" s="17" t="s">
        <v>49</v>
      </c>
      <c r="E69" s="62" t="s">
        <v>79</v>
      </c>
      <c r="F69" s="17" t="s">
        <v>22</v>
      </c>
      <c r="G69" s="17" t="s">
        <v>25</v>
      </c>
      <c r="H69" s="17" cm="1">
        <f t="array" ref="H69">_xlfn.SWITCH(G69,"XS",1,"S",2,"M",3,"L",5,"XL",8,"XXL",13,"XXXL",21,"")</f>
        <v>1</v>
      </c>
      <c r="I69" s="17">
        <f t="shared" si="2"/>
        <v>1</v>
      </c>
      <c r="J69" s="33"/>
      <c r="K69" s="17" t="s">
        <v>15</v>
      </c>
      <c r="L69" s="17"/>
      <c r="M69" s="17" t="s">
        <v>7</v>
      </c>
    </row>
    <row r="70" spans="1:13" ht="100.8" x14ac:dyDescent="0.3">
      <c r="A70" s="20" t="s">
        <v>36</v>
      </c>
      <c r="B70" s="90"/>
      <c r="C70" s="20"/>
      <c r="D70" s="20" t="s">
        <v>27</v>
      </c>
      <c r="E70" s="73" t="s">
        <v>136</v>
      </c>
      <c r="F70" s="20" t="s">
        <v>28</v>
      </c>
      <c r="G70" s="20" t="s">
        <v>25</v>
      </c>
      <c r="H70" s="20" cm="1">
        <f t="array" ref="H70">_xlfn.SWITCH(G70,"XS",1,"S",2,"M",3,"L",5,"XL",8,"XXL",13,"XXXL",21,"")</f>
        <v>1</v>
      </c>
      <c r="I70" s="20">
        <f>H70</f>
        <v>1</v>
      </c>
      <c r="J70" s="46">
        <v>27</v>
      </c>
      <c r="K70" s="20" t="s">
        <v>15</v>
      </c>
      <c r="L70" s="20"/>
      <c r="M70" s="20" t="s">
        <v>7</v>
      </c>
    </row>
    <row r="71" spans="1:13" ht="72" x14ac:dyDescent="0.3">
      <c r="A71" s="19" t="s">
        <v>36</v>
      </c>
      <c r="B71" s="91">
        <v>3.12</v>
      </c>
      <c r="C71" s="19" t="s">
        <v>72</v>
      </c>
      <c r="D71" s="19" t="s">
        <v>29</v>
      </c>
      <c r="E71" s="74" t="s">
        <v>75</v>
      </c>
      <c r="F71" s="19" t="s">
        <v>8</v>
      </c>
      <c r="G71" s="19" t="s">
        <v>21</v>
      </c>
      <c r="H71" s="19" cm="1">
        <f t="array" ref="H71">_xlfn.SWITCH(G71,"XS",1,"S",2,"M",3,"L",5,"XL",8,"XXL",13,"XXXL",21,"")</f>
        <v>8</v>
      </c>
      <c r="I71" s="19">
        <f>H71</f>
        <v>8</v>
      </c>
      <c r="J71" s="47"/>
      <c r="K71" s="19" t="s">
        <v>15</v>
      </c>
      <c r="L71" s="19"/>
      <c r="M71" s="19" t="s">
        <v>7</v>
      </c>
    </row>
    <row r="72" spans="1:13" ht="187.2" x14ac:dyDescent="0.3">
      <c r="A72" s="19" t="s">
        <v>36</v>
      </c>
      <c r="B72" s="91">
        <v>3.12</v>
      </c>
      <c r="C72" s="19" t="s">
        <v>72</v>
      </c>
      <c r="D72" s="19" t="s">
        <v>29</v>
      </c>
      <c r="E72" s="74" t="s">
        <v>106</v>
      </c>
      <c r="F72" s="19" t="s">
        <v>8</v>
      </c>
      <c r="G72" s="19" t="s">
        <v>24</v>
      </c>
      <c r="H72" s="19" cm="1">
        <f t="array" ref="H72">_xlfn.SWITCH(G72,"XS",1,"S",2,"M",3,"L",5,"XL",8,"XXL",13,"XXXL",21,"")</f>
        <v>5</v>
      </c>
      <c r="I72" s="19">
        <f>H72</f>
        <v>5</v>
      </c>
      <c r="J72" s="47"/>
      <c r="K72" s="19" t="s">
        <v>15</v>
      </c>
      <c r="L72" s="19"/>
      <c r="M72" s="19" t="s">
        <v>7</v>
      </c>
    </row>
    <row r="73" spans="1:13" ht="115.2" x14ac:dyDescent="0.3">
      <c r="A73" s="19" t="s">
        <v>36</v>
      </c>
      <c r="B73" s="91">
        <v>3.13</v>
      </c>
      <c r="C73" s="19" t="s">
        <v>74</v>
      </c>
      <c r="D73" s="19" t="s">
        <v>29</v>
      </c>
      <c r="E73" s="74" t="s">
        <v>103</v>
      </c>
      <c r="F73" s="19" t="s">
        <v>22</v>
      </c>
      <c r="G73" s="19" t="s">
        <v>21</v>
      </c>
      <c r="H73" s="19" cm="1">
        <f t="array" ref="H73">_xlfn.SWITCH(G73,"XS",1,"S",2,"M",3,"L",5,"XL",8,"XXL",13,"XXXL",21,"")</f>
        <v>8</v>
      </c>
      <c r="I73" s="19">
        <f>H73</f>
        <v>8</v>
      </c>
      <c r="J73" s="47"/>
      <c r="K73" s="19" t="s">
        <v>15</v>
      </c>
      <c r="L73" s="19"/>
      <c r="M73" s="19" t="s">
        <v>7</v>
      </c>
    </row>
    <row r="74" spans="1:13" ht="57.6" x14ac:dyDescent="0.3">
      <c r="A74" s="48" t="s">
        <v>36</v>
      </c>
      <c r="B74" s="81"/>
      <c r="C74" s="48"/>
      <c r="D74" s="48" t="s">
        <v>81</v>
      </c>
      <c r="E74" s="61" t="s">
        <v>109</v>
      </c>
      <c r="F74" s="48" t="s">
        <v>22</v>
      </c>
      <c r="G74" s="48"/>
      <c r="H74" s="48"/>
      <c r="I74" s="48"/>
      <c r="J74" s="49"/>
      <c r="K74" s="48"/>
      <c r="L74" s="48"/>
      <c r="M74" s="48"/>
    </row>
    <row r="75" spans="1:13" s="9" customFormat="1" ht="115.2" x14ac:dyDescent="0.3">
      <c r="A75" s="17" t="s">
        <v>36</v>
      </c>
      <c r="B75" s="82"/>
      <c r="C75" s="17"/>
      <c r="D75" s="17" t="s">
        <v>49</v>
      </c>
      <c r="E75" s="62" t="s">
        <v>107</v>
      </c>
      <c r="F75" s="17" t="s">
        <v>22</v>
      </c>
      <c r="G75" s="17" t="s">
        <v>25</v>
      </c>
      <c r="H75" s="17" cm="1">
        <f t="array" ref="H75">_xlfn.SWITCH(G75,"XS",1,"S",2,"M",3,"L",5,"XL",8,"XXL",13,"XXXL",21,"")</f>
        <v>1</v>
      </c>
      <c r="I75" s="17">
        <f>H75</f>
        <v>1</v>
      </c>
      <c r="J75" s="17"/>
      <c r="K75" s="17" t="s">
        <v>15</v>
      </c>
      <c r="L75" s="17"/>
      <c r="M75" s="17" t="s">
        <v>7</v>
      </c>
    </row>
  </sheetData>
  <mergeCells count="1">
    <mergeCell ref="J70:J73"/>
  </mergeCells>
  <phoneticPr fontId="11"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W15"/>
  <sheetViews>
    <sheetView workbookViewId="0">
      <selection activeCell="G23" sqref="G23"/>
    </sheetView>
  </sheetViews>
  <sheetFormatPr defaultRowHeight="14.4" x14ac:dyDescent="0.3"/>
  <cols>
    <col min="1" max="1" width="4.88671875" style="2" bestFit="1" customWidth="1"/>
    <col min="2" max="2" width="6.109375" style="23" bestFit="1" customWidth="1"/>
    <col min="3" max="3" width="8.44140625" style="2" bestFit="1" customWidth="1"/>
    <col min="4" max="4" width="6" style="2" bestFit="1" customWidth="1"/>
  </cols>
  <sheetData>
    <row r="1" spans="1:23" ht="57.6" x14ac:dyDescent="0.3">
      <c r="A1" s="2" t="s">
        <v>30</v>
      </c>
      <c r="B1" s="22" t="s">
        <v>31</v>
      </c>
      <c r="C1" s="1" t="s">
        <v>32</v>
      </c>
      <c r="D1" s="1" t="s">
        <v>33</v>
      </c>
    </row>
    <row r="2" spans="1:23" x14ac:dyDescent="0.3">
      <c r="A2" s="2">
        <v>0</v>
      </c>
      <c r="B2" s="22">
        <v>156</v>
      </c>
      <c r="C2" s="1">
        <v>156</v>
      </c>
      <c r="D2" s="1">
        <v>0</v>
      </c>
    </row>
    <row r="3" spans="1:23" x14ac:dyDescent="0.3">
      <c r="A3" s="2">
        <v>1</v>
      </c>
      <c r="B3" s="23">
        <f>156-SUM(D$3:D3)</f>
        <v>156</v>
      </c>
      <c r="C3" s="2">
        <f>156-A3*15.6</f>
        <v>140.4</v>
      </c>
      <c r="D3" s="2">
        <v>0</v>
      </c>
    </row>
    <row r="4" spans="1:23" x14ac:dyDescent="0.3">
      <c r="A4" s="2">
        <v>2</v>
      </c>
      <c r="B4" s="23">
        <f>156-SUM(D$3:D4)</f>
        <v>156</v>
      </c>
      <c r="C4" s="2">
        <f t="shared" ref="C4:C12" si="0">156-A4*15.6</f>
        <v>124.8</v>
      </c>
      <c r="D4" s="2">
        <v>0</v>
      </c>
      <c r="K4" s="21"/>
    </row>
    <row r="5" spans="1:23" x14ac:dyDescent="0.3">
      <c r="A5" s="2">
        <v>3</v>
      </c>
      <c r="B5" s="23">
        <f>156-SUM(D$3:D5)</f>
        <v>156</v>
      </c>
      <c r="C5" s="2">
        <f t="shared" si="0"/>
        <v>109.2</v>
      </c>
      <c r="D5" s="2">
        <v>0</v>
      </c>
    </row>
    <row r="6" spans="1:23" x14ac:dyDescent="0.3">
      <c r="A6" s="2">
        <v>4</v>
      </c>
      <c r="B6" s="23">
        <f>156-SUM(D$3:D6)</f>
        <v>156</v>
      </c>
      <c r="C6" s="2">
        <f t="shared" si="0"/>
        <v>93.6</v>
      </c>
      <c r="D6" s="2">
        <v>0</v>
      </c>
    </row>
    <row r="7" spans="1:23" x14ac:dyDescent="0.3">
      <c r="A7" s="2">
        <v>5</v>
      </c>
      <c r="B7" s="23">
        <f>156-SUM(D$3:D7)</f>
        <v>148</v>
      </c>
      <c r="C7" s="2">
        <f t="shared" si="0"/>
        <v>78</v>
      </c>
      <c r="D7" s="2">
        <v>8</v>
      </c>
    </row>
    <row r="8" spans="1:23" x14ac:dyDescent="0.3">
      <c r="A8" s="2">
        <v>6</v>
      </c>
      <c r="B8" s="23">
        <f>156-SUM(D$3:D8)</f>
        <v>148</v>
      </c>
      <c r="C8" s="2">
        <f t="shared" si="0"/>
        <v>62.400000000000006</v>
      </c>
    </row>
    <row r="9" spans="1:23" x14ac:dyDescent="0.3">
      <c r="A9" s="2">
        <v>7</v>
      </c>
      <c r="B9" s="23">
        <f>156-SUM(D$3:D9)</f>
        <v>148</v>
      </c>
      <c r="C9" s="2">
        <f t="shared" si="0"/>
        <v>46.8</v>
      </c>
    </row>
    <row r="10" spans="1:23" x14ac:dyDescent="0.3">
      <c r="A10" s="2">
        <v>8</v>
      </c>
      <c r="B10" s="23">
        <f>156-SUM(D$3:D10)</f>
        <v>148</v>
      </c>
      <c r="C10" s="2">
        <f t="shared" si="0"/>
        <v>31.200000000000003</v>
      </c>
    </row>
    <row r="11" spans="1:23" x14ac:dyDescent="0.3">
      <c r="A11" s="2">
        <v>9</v>
      </c>
      <c r="B11" s="23">
        <f>156-SUM(D$3:D11)</f>
        <v>148</v>
      </c>
      <c r="C11" s="2">
        <f t="shared" si="0"/>
        <v>15.599999999999994</v>
      </c>
    </row>
    <row r="12" spans="1:23" x14ac:dyDescent="0.3">
      <c r="A12" s="2">
        <v>10</v>
      </c>
      <c r="B12" s="23">
        <f>156-SUM(D$3:D12)</f>
        <v>148</v>
      </c>
      <c r="C12" s="2">
        <f t="shared" si="0"/>
        <v>0</v>
      </c>
    </row>
    <row r="15" spans="1:23" x14ac:dyDescent="0.3">
      <c r="W15" t="s">
        <v>91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
  <sheetViews>
    <sheetView workbookViewId="0">
      <selection activeCell="J26" sqref="J26"/>
    </sheetView>
  </sheetViews>
  <sheetFormatPr defaultRowHeight="14.4" x14ac:dyDescent="0.3"/>
  <sheetData>
    <row r="1" spans="1:1" x14ac:dyDescent="0.3">
      <c r="A1" t="s">
        <v>9</v>
      </c>
    </row>
    <row r="2" spans="1:1" x14ac:dyDescent="0.3">
      <c r="A2" t="s">
        <v>10</v>
      </c>
    </row>
    <row r="3" spans="1:1" x14ac:dyDescent="0.3">
      <c r="A3" t="s">
        <v>11</v>
      </c>
    </row>
    <row r="4" spans="1:1" x14ac:dyDescent="0.3">
      <c r="A4" t="s">
        <v>12</v>
      </c>
    </row>
    <row r="5" spans="1:1" x14ac:dyDescent="0.3">
      <c r="A5" t="s">
        <v>13</v>
      </c>
    </row>
    <row r="6" spans="1:1" x14ac:dyDescent="0.3">
      <c r="A6" t="s">
        <v>14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
  <sheetViews>
    <sheetView workbookViewId="0">
      <selection activeCell="C17" sqref="C17"/>
    </sheetView>
  </sheetViews>
  <sheetFormatPr defaultColWidth="13.44140625" defaultRowHeight="14.4" x14ac:dyDescent="0.3"/>
  <cols>
    <col min="1" max="1" width="11.6640625" style="51" bestFit="1" customWidth="1"/>
    <col min="2" max="2" width="9" style="1" bestFit="1" customWidth="1"/>
    <col min="3" max="3" width="23.88671875" style="1" customWidth="1"/>
    <col min="4" max="4" width="33" style="1" customWidth="1"/>
    <col min="5" max="5" width="9.6640625" style="1" bestFit="1" customWidth="1"/>
    <col min="6" max="6" width="6.44140625" style="1" bestFit="1" customWidth="1"/>
    <col min="7" max="7" width="8.5546875" style="1" customWidth="1"/>
    <col min="8" max="8" width="6.88671875" style="1" bestFit="1" customWidth="1"/>
    <col min="9" max="9" width="6" style="1" bestFit="1" customWidth="1"/>
    <col min="10" max="10" width="18.21875" style="1" customWidth="1"/>
    <col min="11" max="11" width="23.109375" style="1" customWidth="1"/>
    <col min="12" max="16384" width="13.44140625" style="1"/>
  </cols>
  <sheetData>
    <row r="1" spans="1:11" ht="28.8" x14ac:dyDescent="0.3">
      <c r="A1" s="51" t="s">
        <v>1</v>
      </c>
      <c r="B1" s="1" t="s">
        <v>92</v>
      </c>
      <c r="C1" s="1" t="s">
        <v>98</v>
      </c>
      <c r="D1" s="1" t="s">
        <v>93</v>
      </c>
      <c r="E1" s="1" t="s">
        <v>94</v>
      </c>
      <c r="F1" s="1" t="s">
        <v>95</v>
      </c>
      <c r="G1" s="1" t="s">
        <v>96</v>
      </c>
      <c r="H1" s="1" t="s">
        <v>97</v>
      </c>
      <c r="I1" s="1" t="s">
        <v>5</v>
      </c>
      <c r="J1" s="1" t="s">
        <v>99</v>
      </c>
      <c r="K1" s="1" t="s">
        <v>100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Board</vt:lpstr>
      <vt:lpstr>Burndown</vt:lpstr>
      <vt:lpstr>Daily Standup Guide</vt:lpstr>
      <vt:lpstr>Ambiguities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2026-01-21T18:05:59Z</dcterms:modified>
</cp:coreProperties>
</file>