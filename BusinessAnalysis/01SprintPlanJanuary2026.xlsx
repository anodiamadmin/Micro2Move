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Hub\Micro2Move\BusinessAnalysis\"/>
    </mc:Choice>
  </mc:AlternateContent>
  <xr:revisionPtr revIDLastSave="0" documentId="13_ncr:1_{35E3197B-A132-4BF8-AA66-BF5A007CD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oard" sheetId="1" r:id="rId1"/>
    <sheet name="Daily Standup Guide" sheetId="2" r:id="rId2"/>
    <sheet name="Burndow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 a="1"/>
  <c r="H34" i="1" s="1"/>
  <c r="H4" i="1" a="1"/>
  <c r="H4" i="1" s="1"/>
  <c r="H5" i="1" a="1"/>
  <c r="H5" i="1" s="1"/>
  <c r="H6" i="1" a="1"/>
  <c r="H6" i="1" s="1"/>
  <c r="H3" i="1" a="1"/>
  <c r="H3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<sst xmlns="http://schemas.openxmlformats.org/spreadsheetml/2006/main" count="514" uniqueCount="123">
  <si>
    <t>Epic</t>
  </si>
  <si>
    <t>User Story ID</t>
  </si>
  <si>
    <t>User Story (Short)</t>
  </si>
  <si>
    <t>Task</t>
  </si>
  <si>
    <t>Assigned To</t>
  </si>
  <si>
    <t>Estimate (hrs)</t>
  </si>
  <si>
    <t>Status</t>
  </si>
  <si>
    <t>Blocker / Notes</t>
  </si>
  <si>
    <t>Auth</t>
  </si>
  <si>
    <t>Splash screen</t>
  </si>
  <si>
    <t>No</t>
  </si>
  <si>
    <t>Alekhya</t>
  </si>
  <si>
    <t>Daily Standup Checklist</t>
  </si>
  <si>
    <t>Is any task Blocked?</t>
  </si>
  <si>
    <t>Is any task In Progress for &gt;2 days?</t>
  </si>
  <si>
    <t>Is Sprint Goal still safe?</t>
  </si>
  <si>
    <t>Any dependency issues?</t>
  </si>
  <si>
    <t>Any help needed today?</t>
  </si>
  <si>
    <t>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</si>
  <si>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</si>
  <si>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</si>
  <si>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</si>
  <si>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</si>
  <si>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</si>
  <si>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</si>
  <si>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</si>
  <si>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</si>
  <si>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</si>
  <si>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</si>
  <si>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ToDo</t>
  </si>
  <si>
    <t>DoD Met?</t>
  </si>
  <si>
    <t>T-Shirt Sizing</t>
  </si>
  <si>
    <t>Handle button press → store entry intent (Rent/List)</t>
  </si>
  <si>
    <t>Landing Screen</t>
  </si>
  <si>
    <r>
      <t xml:space="preserve">Pressing on the explore hyperlink should navigate the user to </t>
    </r>
    <r>
      <rPr>
        <b/>
        <sz val="11"/>
        <color theme="1"/>
        <rFont val="Calibri"/>
        <family val="2"/>
        <scheme val="minor"/>
      </rPr>
      <t>ExploreMaps</t>
    </r>
    <r>
      <rPr>
        <sz val="11"/>
        <color theme="1"/>
        <rFont val="Calibri"/>
        <family val="2"/>
        <scheme val="minor"/>
      </rPr>
      <t xml:space="preserve"> screen</t>
    </r>
  </si>
  <si>
    <r>
      <t xml:space="preserve">Unlogged in users should be navigated to </t>
    </r>
    <r>
      <rPr>
        <b/>
        <sz val="11"/>
        <color theme="1"/>
        <rFont val="Calibri"/>
        <family val="2"/>
        <scheme val="minor"/>
      </rPr>
      <t xml:space="preserve">SignIn </t>
    </r>
    <r>
      <rPr>
        <sz val="11"/>
        <color theme="1"/>
        <rFont val="Calibri"/>
        <family val="2"/>
        <scheme val="minor"/>
      </rPr>
      <t>screen upon pressing any button</t>
    </r>
  </si>
  <si>
    <t>Task No.</t>
  </si>
  <si>
    <t>Story Point</t>
  </si>
  <si>
    <t>Preserve entry intent (Rent/List)</t>
  </si>
  <si>
    <t>Create Sign In screen layout</t>
  </si>
  <si>
    <t>Add Email input field</t>
  </si>
  <si>
    <t>Add Password input field</t>
  </si>
  <si>
    <t>Add Continue button</t>
  </si>
  <si>
    <t>Handle navigation from Landing → Sign In</t>
  </si>
  <si>
    <t>Sign in Screen</t>
  </si>
  <si>
    <r>
      <t xml:space="preserve">Add </t>
    </r>
    <r>
      <rPr>
        <u/>
        <sz val="11"/>
        <color theme="1"/>
        <rFont val="Calibri"/>
        <family val="2"/>
        <scheme val="minor"/>
      </rPr>
      <t>SignUp</t>
    </r>
    <r>
      <rPr>
        <sz val="11"/>
        <color theme="1"/>
        <rFont val="Calibri"/>
        <family val="2"/>
        <scheme val="minor"/>
      </rPr>
      <t xml:space="preserve"> hyperlink</t>
    </r>
  </si>
  <si>
    <t>Create login API service with FastAPI</t>
  </si>
  <si>
    <t>Handle loading state</t>
  </si>
  <si>
    <t>Handle successful login response</t>
  </si>
  <si>
    <t>Handle invalid credentials error</t>
  </si>
  <si>
    <t>Set correct bottom nav tab</t>
  </si>
  <si>
    <t>Detect entry intent (Rent/List)</t>
  </si>
  <si>
    <t>Detect user role (Owner/Renter)</t>
  </si>
  <si>
    <t>Show personalized welcome note</t>
  </si>
  <si>
    <r>
      <t xml:space="preserve">Navigate to </t>
    </r>
    <r>
      <rPr>
        <b/>
        <sz val="11"/>
        <color theme="1"/>
        <rFont val="Calibri"/>
        <family val="2"/>
        <scheme val="minor"/>
      </rPr>
      <t>RenterE-BikeBookingFilter</t>
    </r>
    <r>
      <rPr>
        <sz val="11"/>
        <color theme="1"/>
        <rFont val="Calibri"/>
        <family val="2"/>
        <scheme val="minor"/>
      </rPr>
      <t xml:space="preserve"> screen</t>
    </r>
  </si>
  <si>
    <r>
      <t xml:space="preserve">Navigate to </t>
    </r>
    <r>
      <rPr>
        <b/>
        <sz val="11"/>
        <color theme="1"/>
        <rFont val="Calibri"/>
        <family val="2"/>
        <scheme val="minor"/>
      </rPr>
      <t>OwnerE-BikeListing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OwnerExistingE-BikesList</t>
    </r>
    <r>
      <rPr>
        <sz val="11"/>
        <color theme="1"/>
        <rFont val="Calibri"/>
        <family val="2"/>
        <scheme val="minor"/>
      </rPr>
      <t xml:space="preserve"> screen</t>
    </r>
  </si>
  <si>
    <t>Detect logged-in user state</t>
  </si>
  <si>
    <t>Handle Rent button press → RenterE-BikeBookingFilter screen</t>
  </si>
  <si>
    <t>Handle List button press → First time Listing? → OwnerE-BikeListing screen</t>
  </si>
  <si>
    <t>Handle List button press → Existing lister? → OwnerExistingE-BikesList screen</t>
  </si>
  <si>
    <t>Skip Sign In screen</t>
  </si>
  <si>
    <t>Preserve bottom navigation state:
Owner: My Bikes
Renter: my Rides</t>
  </si>
  <si>
    <t>Persist Explore tab selection</t>
  </si>
  <si>
    <t>Create Explore screen shell</t>
  </si>
  <si>
    <t>Handle Explore link from Landing</t>
  </si>
  <si>
    <t>Handle Explore bottom nav selection</t>
  </si>
  <si>
    <t>Allow guest access</t>
  </si>
  <si>
    <t>Block navigation for Profile</t>
  </si>
  <si>
    <t>Detect auth state on tab press</t>
  </si>
  <si>
    <t>Block navigation for My Rides</t>
  </si>
  <si>
    <t>Block navigation for My Bikes</t>
  </si>
  <si>
    <t>Redirect to Sign In screen</t>
  </si>
  <si>
    <t>Preserve target tab intent</t>
  </si>
  <si>
    <t>After login → redirect to intended tab</t>
  </si>
  <si>
    <t>Explore-guest</t>
  </si>
  <si>
    <t>Show inline errors</t>
  </si>
  <si>
    <t>Sign Up Screen</t>
  </si>
  <si>
    <t>Create T&amp;C screen</t>
  </si>
  <si>
    <t>Render scrollable content</t>
  </si>
  <si>
    <t>Implement “OK” button</t>
  </si>
  <si>
    <t>Navigate back to Sign Up screen upon pressing OK button</t>
  </si>
  <si>
    <t>SignUp-T&amp;C</t>
  </si>
  <si>
    <t>Add ID upload button</t>
  </si>
  <si>
    <t>Integrate camera/gallery picker</t>
  </si>
  <si>
    <t>Preview uploaded ID</t>
  </si>
  <si>
    <t>Validate file type</t>
  </si>
  <si>
    <t>Handle upload failure</t>
  </si>
  <si>
    <t>SignUp-ID Upload</t>
  </si>
  <si>
    <t>Add selfie capture button</t>
  </si>
  <si>
    <t>Open camera</t>
  </si>
  <si>
    <t>Capture selfie image</t>
  </si>
  <si>
    <t>Preview selfie</t>
  </si>
  <si>
    <t>Retake option</t>
  </si>
  <si>
    <t>SignUp-Selfie</t>
  </si>
  <si>
    <t>Create registration API service with FastAPI</t>
  </si>
  <si>
    <t>Submit form data</t>
  </si>
  <si>
    <t>Submit ID image</t>
  </si>
  <si>
    <t>Submit selfie image</t>
  </si>
  <si>
    <t>Show loading state</t>
  </si>
  <si>
    <t>SignUp-Backend</t>
  </si>
  <si>
    <t>Display field entry errors</t>
  </si>
  <si>
    <t>Handle backend validation errors (existing email)</t>
  </si>
  <si>
    <t>Auto-login user upon successful sign up</t>
  </si>
  <si>
    <t>1. Create splash screen component in react native
2. Add logo app name, tagline text
3. Add brand values text</t>
  </si>
  <si>
    <t>S</t>
  </si>
  <si>
    <t>1. Implement 3-second timer
2. Loading the required app resources within that span
3. Navigate to Landing screen after timer</t>
  </si>
  <si>
    <t>M</t>
  </si>
  <si>
    <t>XL</t>
  </si>
  <si>
    <r>
      <t xml:space="preserve">1. Create landing screen layout
2. Add </t>
    </r>
    <r>
      <rPr>
        <b/>
        <sz val="11"/>
        <color theme="1"/>
        <rFont val="Calibri"/>
        <family val="2"/>
        <scheme val="minor"/>
      </rPr>
      <t>Rent a Bike</t>
    </r>
    <r>
      <rPr>
        <sz val="11"/>
        <color theme="1"/>
        <rFont val="Calibri"/>
        <family val="2"/>
        <scheme val="minor"/>
      </rPr>
      <t xml:space="preserve"> primary button
3. Add</t>
    </r>
    <r>
      <rPr>
        <b/>
        <sz val="11"/>
        <color theme="1"/>
        <rFont val="Calibri"/>
        <family val="2"/>
        <scheme val="minor"/>
      </rPr>
      <t xml:space="preserve"> List a Bike</t>
    </r>
    <r>
      <rPr>
        <sz val="11"/>
        <color theme="1"/>
        <rFont val="Calibri"/>
        <family val="2"/>
        <scheme val="minor"/>
      </rPr>
      <t xml:space="preserve"> primary button
4. Add </t>
    </r>
    <r>
      <rPr>
        <b/>
        <u/>
        <sz val="11"/>
        <color theme="1"/>
        <rFont val="Calibri"/>
        <family val="2"/>
        <scheme val="minor"/>
      </rPr>
      <t>Explore</t>
    </r>
    <r>
      <rPr>
        <sz val="11"/>
        <color theme="1"/>
        <rFont val="Calibri"/>
        <family val="2"/>
        <scheme val="minor"/>
      </rPr>
      <t xml:space="preserve"> hyperlink</t>
    </r>
  </si>
  <si>
    <t>Sayan</t>
  </si>
  <si>
    <t>Anirban</t>
  </si>
  <si>
    <t>Create reusable fonts library</t>
  </si>
  <si>
    <t>L</t>
  </si>
  <si>
    <t>Create reusable UI elements package</t>
  </si>
  <si>
    <t>Remaining Story Points</t>
  </si>
  <si>
    <t>Create reusable color palate</t>
  </si>
  <si>
    <t>XS</t>
  </si>
  <si>
    <r>
      <t xml:space="preserve">1. Logged in renter should be navigated to </t>
    </r>
    <r>
      <rPr>
        <b/>
        <sz val="11"/>
        <color theme="1"/>
        <rFont val="Calibri"/>
        <family val="2"/>
        <scheme val="minor"/>
      </rPr>
      <t>RenterE-BikeBookingFilter</t>
    </r>
    <r>
      <rPr>
        <sz val="11"/>
        <color theme="1"/>
        <rFont val="Calibri"/>
        <family val="2"/>
        <scheme val="minor"/>
      </rPr>
      <t xml:space="preserve"> screen
2. Logged in owner with zero listed e-bikes should be navigated to </t>
    </r>
    <r>
      <rPr>
        <b/>
        <sz val="11"/>
        <color theme="1"/>
        <rFont val="Calibri"/>
        <family val="2"/>
        <scheme val="minor"/>
      </rPr>
      <t>OwnerE-BikeListing</t>
    </r>
    <r>
      <rPr>
        <sz val="11"/>
        <color theme="1"/>
        <rFont val="Calibri"/>
        <family val="2"/>
        <scheme val="minor"/>
      </rPr>
      <t xml:space="preserve"> screen
3. Logged in owner with existing listed e-bikes should be navigated to </t>
    </r>
    <r>
      <rPr>
        <b/>
        <sz val="11"/>
        <color theme="1"/>
        <rFont val="Calibri"/>
        <family val="2"/>
        <scheme val="minor"/>
      </rPr>
      <t>OwnerExistingE-BikesList</t>
    </r>
    <r>
      <rPr>
        <sz val="11"/>
        <color theme="1"/>
        <rFont val="Calibri"/>
        <family val="2"/>
        <scheme val="minor"/>
      </rPr>
      <t xml:space="preserve"> screen</t>
    </r>
  </si>
  <si>
    <t>1. Client-side email match with database entry
2. Client-side password match with database entry
3. Disable Continue button on invalid input
4. Show inline validation errors</t>
  </si>
  <si>
    <r>
      <t xml:space="preserve">1. Renter should be navigated to </t>
    </r>
    <r>
      <rPr>
        <b/>
        <sz val="11"/>
        <color theme="1"/>
        <rFont val="Calibri"/>
        <family val="2"/>
        <scheme val="minor"/>
      </rPr>
      <t>RenterE-BikeBookingFilter</t>
    </r>
    <r>
      <rPr>
        <sz val="11"/>
        <color theme="1"/>
        <rFont val="Calibri"/>
        <family val="2"/>
        <scheme val="minor"/>
      </rPr>
      <t xml:space="preserve"> screen
2. Owner with zero listed e-bikes should be navigated to </t>
    </r>
    <r>
      <rPr>
        <b/>
        <sz val="11"/>
        <color theme="1"/>
        <rFont val="Calibri"/>
        <family val="2"/>
        <scheme val="minor"/>
      </rPr>
      <t>OwnerE-BikeListing</t>
    </r>
    <r>
      <rPr>
        <sz val="11"/>
        <color theme="1"/>
        <rFont val="Calibri"/>
        <family val="2"/>
        <scheme val="minor"/>
      </rPr>
      <t xml:space="preserve"> screen
3. Owner with existing listed e-bikes should be navigated to </t>
    </r>
    <r>
      <rPr>
        <b/>
        <sz val="11"/>
        <color theme="1"/>
        <rFont val="Calibri"/>
        <family val="2"/>
        <scheme val="minor"/>
      </rPr>
      <t>OwnerExistingE-BikesList</t>
    </r>
    <r>
      <rPr>
        <sz val="11"/>
        <color theme="1"/>
        <rFont val="Calibri"/>
        <family val="2"/>
        <scheme val="minor"/>
      </rPr>
      <t xml:space="preserve"> screen</t>
    </r>
  </si>
  <si>
    <t>1. Create Sign Up screen layout
2. Full Name input
3. Birth date picker
4. Email input
5. Terms &amp; Conditions checkbox
6. Disable Continue button until checkbox checked</t>
  </si>
  <si>
    <t>Client-side validations:
1. Age &gt; 16 years
2. Prevent using same email to signup twice
3. Name should match Govt. ID name</t>
  </si>
  <si>
    <t>1. Validate image against ID ~ 80%
2. Validate image is without hats or glasses
3. Validate image clarity (no blur or shake)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</si>
</sst>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10" workbookViewId="0">
      <selection activeCell="D80" sqref="D80"/>
    </sheetView>
  </sheetViews>
  <sheetFormatPr defaultRowHeight="14.4" x14ac:dyDescent="0.3"/>
  <cols>
    <col min="1" max="1" width="8.21875" style="1" bestFit="1" customWidth="1"/>
    <col min="2" max="2" width="4.77734375" style="1" bestFit="1" customWidth="1"/>
    <col min="3" max="3" width="11.88671875" style="1" bestFit="1" customWidth="1"/>
    <col min="4" max="4" width="16.109375" style="1" customWidth="1"/>
    <col min="5" max="5" width="65.33203125" style="1" customWidth="1"/>
    <col min="6" max="6" width="11" style="1" bestFit="1" customWidth="1"/>
    <col min="7" max="7" width="11.77734375" style="1" bestFit="1" customWidth="1"/>
    <col min="8" max="8" width="11.33203125" style="1" customWidth="1"/>
    <col min="9" max="9" width="12.5546875" style="1" bestFit="1" customWidth="1"/>
    <col min="10" max="10" width="6.21875" style="1" bestFit="1" customWidth="1"/>
    <col min="11" max="11" width="14" style="1" bestFit="1" customWidth="1"/>
    <col min="12" max="12" width="9.33203125" style="1" bestFit="1" customWidth="1"/>
    <col min="13" max="16384" width="8.88671875" style="1"/>
  </cols>
  <sheetData>
    <row r="1" spans="1:12" x14ac:dyDescent="0.3">
      <c r="A1" s="3" t="s">
        <v>36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31</v>
      </c>
      <c r="H1" s="3" t="s">
        <v>37</v>
      </c>
      <c r="I1" s="3" t="s">
        <v>5</v>
      </c>
      <c r="J1" s="3" t="s">
        <v>6</v>
      </c>
      <c r="K1" s="3" t="s">
        <v>7</v>
      </c>
      <c r="L1" s="3" t="s">
        <v>30</v>
      </c>
    </row>
    <row r="2" spans="1:12" ht="57.6" x14ac:dyDescent="0.3">
      <c r="A2" s="4">
        <v>1</v>
      </c>
      <c r="B2" s="4" t="s">
        <v>8</v>
      </c>
      <c r="C2" s="4">
        <v>1.1000000000000001</v>
      </c>
      <c r="D2" s="4" t="s">
        <v>9</v>
      </c>
      <c r="E2" s="5" t="s">
        <v>103</v>
      </c>
      <c r="F2" s="4" t="s">
        <v>11</v>
      </c>
      <c r="G2" s="4" t="s">
        <v>116</v>
      </c>
      <c r="H2" s="4" cm="1">
        <f t="array" ref="H2">_xlfn.SWITCH(G2,"XS",1,"S",2,"M",3,"L",5,"XL",8,"XXL",13,"XXXL",21,"")</f>
        <v>1</v>
      </c>
      <c r="I2" s="4"/>
      <c r="J2" s="4" t="s">
        <v>29</v>
      </c>
      <c r="K2" s="4"/>
      <c r="L2" s="4" t="s">
        <v>10</v>
      </c>
    </row>
    <row r="3" spans="1:12" ht="57.6" x14ac:dyDescent="0.3">
      <c r="A3" s="4">
        <v>4</v>
      </c>
      <c r="B3" s="4" t="s">
        <v>8</v>
      </c>
      <c r="C3" s="4">
        <v>1.1000000000000001</v>
      </c>
      <c r="D3" s="4" t="s">
        <v>9</v>
      </c>
      <c r="E3" s="5" t="s">
        <v>105</v>
      </c>
      <c r="F3" s="4" t="s">
        <v>11</v>
      </c>
      <c r="G3" s="4" t="s">
        <v>104</v>
      </c>
      <c r="H3" s="4" cm="1">
        <f t="array" ref="H3">_xlfn.SWITCH(G3,"XS",1,"S",2,"M",3,"L",5,"XL",8,"XXL",13,"XXXL",21,"")</f>
        <v>2</v>
      </c>
      <c r="I3" s="4"/>
      <c r="J3" s="4" t="s">
        <v>29</v>
      </c>
      <c r="K3" s="4"/>
      <c r="L3" s="4" t="s">
        <v>10</v>
      </c>
    </row>
    <row r="4" spans="1:12" x14ac:dyDescent="0.3">
      <c r="A4" s="4"/>
      <c r="B4" s="4" t="s">
        <v>8</v>
      </c>
      <c r="C4" s="4"/>
      <c r="D4" s="4"/>
      <c r="E4" s="5" t="s">
        <v>115</v>
      </c>
      <c r="F4" s="4" t="s">
        <v>110</v>
      </c>
      <c r="G4" s="4" t="s">
        <v>107</v>
      </c>
      <c r="H4" s="4" cm="1">
        <f t="array" ref="H4">_xlfn.SWITCH(G4,"XS",1,"S",2,"M",3,"L",5,"XL",8,"XXL",13,"XXXL",21,"")</f>
        <v>8</v>
      </c>
      <c r="I4" s="4"/>
      <c r="J4" s="4"/>
      <c r="K4" s="4"/>
      <c r="L4" s="4"/>
    </row>
    <row r="5" spans="1:12" x14ac:dyDescent="0.3">
      <c r="A5" s="4"/>
      <c r="B5" s="4" t="s">
        <v>8</v>
      </c>
      <c r="C5" s="4"/>
      <c r="D5" s="4"/>
      <c r="E5" s="5" t="s">
        <v>111</v>
      </c>
      <c r="F5" s="4" t="s">
        <v>109</v>
      </c>
      <c r="G5" s="4" t="s">
        <v>112</v>
      </c>
      <c r="H5" s="4" cm="1">
        <f t="array" ref="H5">_xlfn.SWITCH(G5,"XS",1,"S",2,"M",3,"L",5,"XL",8,"XXL",13,"XXXL",21,"")</f>
        <v>5</v>
      </c>
      <c r="I5" s="4"/>
      <c r="J5" s="4"/>
      <c r="K5" s="4"/>
      <c r="L5" s="4"/>
    </row>
    <row r="6" spans="1:12" x14ac:dyDescent="0.3">
      <c r="A6" s="4"/>
      <c r="B6" s="4" t="s">
        <v>8</v>
      </c>
      <c r="C6" s="4"/>
      <c r="D6" s="4"/>
      <c r="E6" s="5" t="s">
        <v>113</v>
      </c>
      <c r="F6" s="4" t="s">
        <v>110</v>
      </c>
      <c r="G6" s="4" t="s">
        <v>107</v>
      </c>
      <c r="H6" s="4" cm="1">
        <f t="array" ref="H6">_xlfn.SWITCH(G6,"XS",1,"S",2,"M",3,"L",5,"XL",8,"XXL",13,"XXXL",21,"")</f>
        <v>8</v>
      </c>
      <c r="I6" s="4"/>
      <c r="J6" s="4"/>
      <c r="K6" s="4"/>
      <c r="L6" s="4"/>
    </row>
    <row r="7" spans="1:12" ht="57.6" x14ac:dyDescent="0.3">
      <c r="A7" s="4">
        <v>6</v>
      </c>
      <c r="B7" s="4" t="s">
        <v>8</v>
      </c>
      <c r="C7" s="4">
        <v>1.2</v>
      </c>
      <c r="D7" s="4" t="s">
        <v>33</v>
      </c>
      <c r="E7" s="5" t="s">
        <v>108</v>
      </c>
      <c r="F7" s="4" t="s">
        <v>11</v>
      </c>
      <c r="G7" s="4" t="s">
        <v>104</v>
      </c>
      <c r="H7" s="4" cm="1">
        <f t="array" ref="H7">_xlfn.SWITCH(G7,"XS",1,"S",2,"M",3,"L",5,"XL",8,"XXL",13,"XXXL",21,"")</f>
        <v>2</v>
      </c>
      <c r="I7" s="4"/>
      <c r="J7" s="4" t="s">
        <v>29</v>
      </c>
      <c r="K7" s="4"/>
      <c r="L7" s="4" t="s">
        <v>10</v>
      </c>
    </row>
    <row r="8" spans="1:12" x14ac:dyDescent="0.3">
      <c r="A8" s="4">
        <v>10</v>
      </c>
      <c r="B8" s="4" t="s">
        <v>8</v>
      </c>
      <c r="C8" s="4">
        <v>1.2</v>
      </c>
      <c r="D8" s="4" t="s">
        <v>33</v>
      </c>
      <c r="E8" s="5" t="s">
        <v>32</v>
      </c>
      <c r="F8" s="4" t="s">
        <v>110</v>
      </c>
      <c r="G8" s="4" t="s">
        <v>106</v>
      </c>
      <c r="H8" s="4" cm="1">
        <f t="array" ref="H8">_xlfn.SWITCH(G8,"XS",1,"S",2,"M",3,"L",5,"XL",8,"XXL",13,"XXXL",21,"")</f>
        <v>3</v>
      </c>
      <c r="I8" s="4"/>
      <c r="J8" s="4" t="s">
        <v>29</v>
      </c>
      <c r="K8" s="4"/>
      <c r="L8" s="4" t="s">
        <v>10</v>
      </c>
    </row>
    <row r="9" spans="1:12" ht="72" x14ac:dyDescent="0.3">
      <c r="A9" s="4">
        <v>11</v>
      </c>
      <c r="B9" s="4" t="s">
        <v>8</v>
      </c>
      <c r="C9" s="4">
        <v>1.2</v>
      </c>
      <c r="D9" s="4" t="s">
        <v>33</v>
      </c>
      <c r="E9" s="5" t="s">
        <v>117</v>
      </c>
      <c r="F9" s="4" t="s">
        <v>110</v>
      </c>
      <c r="G9" s="4" t="s">
        <v>106</v>
      </c>
      <c r="H9" s="4" cm="1">
        <f t="array" ref="H9">_xlfn.SWITCH(G9,"XS",1,"S",2,"M",3,"L",5,"XL",8,"XXL",13,"XXXL",21,"")</f>
        <v>3</v>
      </c>
      <c r="I9" s="4"/>
      <c r="J9" s="4" t="s">
        <v>29</v>
      </c>
      <c r="K9" s="4"/>
      <c r="L9" s="4" t="s">
        <v>10</v>
      </c>
    </row>
    <row r="10" spans="1:12" ht="28.8" x14ac:dyDescent="0.3">
      <c r="A10" s="4">
        <v>14</v>
      </c>
      <c r="B10" s="4" t="s">
        <v>8</v>
      </c>
      <c r="C10" s="4">
        <v>1.2</v>
      </c>
      <c r="D10" s="4" t="s">
        <v>33</v>
      </c>
      <c r="E10" s="5" t="s">
        <v>35</v>
      </c>
      <c r="F10" s="4" t="s">
        <v>110</v>
      </c>
      <c r="G10" s="4" t="s">
        <v>104</v>
      </c>
      <c r="H10" s="4" cm="1">
        <f t="array" ref="H10">_xlfn.SWITCH(G10,"XS",1,"S",2,"M",3,"L",5,"XL",8,"XXL",13,"XXXL",21,"")</f>
        <v>2</v>
      </c>
      <c r="I10" s="4"/>
      <c r="J10" s="4" t="s">
        <v>29</v>
      </c>
      <c r="K10" s="4"/>
      <c r="L10" s="4" t="s">
        <v>10</v>
      </c>
    </row>
    <row r="11" spans="1:12" ht="28.8" x14ac:dyDescent="0.3">
      <c r="A11" s="4">
        <v>15</v>
      </c>
      <c r="B11" s="4" t="s">
        <v>8</v>
      </c>
      <c r="C11" s="4">
        <v>1.2</v>
      </c>
      <c r="D11" s="4" t="s">
        <v>33</v>
      </c>
      <c r="E11" s="5" t="s">
        <v>34</v>
      </c>
      <c r="F11" s="4" t="s">
        <v>110</v>
      </c>
      <c r="G11" s="4" t="s">
        <v>104</v>
      </c>
      <c r="H11" s="4" cm="1">
        <f t="array" ref="H11">_xlfn.SWITCH(G11,"XS",1,"S",2,"M",3,"L",5,"XL",8,"XXL",13,"XXXL",21,"")</f>
        <v>2</v>
      </c>
      <c r="I11" s="4"/>
      <c r="J11" s="4" t="s">
        <v>29</v>
      </c>
      <c r="K11" s="4"/>
      <c r="L11" s="4" t="s">
        <v>10</v>
      </c>
    </row>
    <row r="12" spans="1:12" x14ac:dyDescent="0.3">
      <c r="A12" s="4">
        <v>16</v>
      </c>
      <c r="B12" s="4" t="s">
        <v>8</v>
      </c>
      <c r="C12" s="4">
        <v>1.3</v>
      </c>
      <c r="D12" s="4" t="s">
        <v>44</v>
      </c>
      <c r="E12" s="5" t="s">
        <v>39</v>
      </c>
      <c r="F12" s="4" t="s">
        <v>11</v>
      </c>
      <c r="G12" s="4" t="s">
        <v>116</v>
      </c>
      <c r="H12" s="4" cm="1">
        <f t="array" ref="H12">_xlfn.SWITCH(G12,"XS",1,"S",2,"M",3,"L",5,"XL",8,"XXL",13,"XXXL",21,"")</f>
        <v>1</v>
      </c>
      <c r="I12" s="4"/>
      <c r="J12" s="4" t="s">
        <v>29</v>
      </c>
      <c r="K12" s="4"/>
      <c r="L12" s="4" t="s">
        <v>10</v>
      </c>
    </row>
    <row r="13" spans="1:12" x14ac:dyDescent="0.3">
      <c r="A13" s="4">
        <v>17</v>
      </c>
      <c r="B13" s="4" t="s">
        <v>8</v>
      </c>
      <c r="C13" s="4">
        <v>1.3</v>
      </c>
      <c r="D13" s="4" t="s">
        <v>44</v>
      </c>
      <c r="E13" s="5" t="s">
        <v>40</v>
      </c>
      <c r="F13" s="4" t="s">
        <v>11</v>
      </c>
      <c r="G13" s="4" t="s">
        <v>116</v>
      </c>
      <c r="H13" s="4" cm="1">
        <f t="array" ref="H13">_xlfn.SWITCH(G13,"XS",1,"S",2,"M",3,"L",5,"XL",8,"XXL",13,"XXXL",21,"")</f>
        <v>1</v>
      </c>
      <c r="I13" s="4"/>
      <c r="J13" s="4" t="s">
        <v>29</v>
      </c>
      <c r="K13" s="4"/>
      <c r="L13" s="4" t="s">
        <v>10</v>
      </c>
    </row>
    <row r="14" spans="1:12" x14ac:dyDescent="0.3">
      <c r="A14" s="4">
        <v>18</v>
      </c>
      <c r="B14" s="4" t="s">
        <v>8</v>
      </c>
      <c r="C14" s="4">
        <v>1.3</v>
      </c>
      <c r="D14" s="4" t="s">
        <v>44</v>
      </c>
      <c r="E14" s="5" t="s">
        <v>41</v>
      </c>
      <c r="F14" s="4" t="s">
        <v>11</v>
      </c>
      <c r="G14" s="4" t="s">
        <v>116</v>
      </c>
      <c r="H14" s="4" cm="1">
        <f t="array" ref="H14">_xlfn.SWITCH(G14,"XS",1,"S",2,"M",3,"L",5,"XL",8,"XXL",13,"XXXL",21,"")</f>
        <v>1</v>
      </c>
      <c r="I14" s="4"/>
      <c r="J14" s="4" t="s">
        <v>29</v>
      </c>
      <c r="K14" s="4"/>
      <c r="L14" s="4" t="s">
        <v>10</v>
      </c>
    </row>
    <row r="15" spans="1:12" x14ac:dyDescent="0.3">
      <c r="A15" s="4">
        <v>19</v>
      </c>
      <c r="B15" s="4" t="s">
        <v>8</v>
      </c>
      <c r="C15" s="4">
        <v>1.3</v>
      </c>
      <c r="D15" s="4" t="s">
        <v>44</v>
      </c>
      <c r="E15" s="5" t="s">
        <v>42</v>
      </c>
      <c r="F15" s="4" t="s">
        <v>11</v>
      </c>
      <c r="G15" s="4" t="s">
        <v>116</v>
      </c>
      <c r="H15" s="4" cm="1">
        <f t="array" ref="H15">_xlfn.SWITCH(G15,"XS",1,"S",2,"M",3,"L",5,"XL",8,"XXL",13,"XXXL",21,"")</f>
        <v>1</v>
      </c>
      <c r="I15" s="4"/>
      <c r="J15" s="4" t="s">
        <v>29</v>
      </c>
      <c r="K15" s="4"/>
      <c r="L15" s="4" t="s">
        <v>10</v>
      </c>
    </row>
    <row r="16" spans="1:12" x14ac:dyDescent="0.3">
      <c r="A16" s="4">
        <v>20</v>
      </c>
      <c r="B16" s="4" t="s">
        <v>8</v>
      </c>
      <c r="C16" s="4">
        <v>1.3</v>
      </c>
      <c r="D16" s="4" t="s">
        <v>44</v>
      </c>
      <c r="E16" s="5" t="s">
        <v>45</v>
      </c>
      <c r="F16" s="4" t="s">
        <v>11</v>
      </c>
      <c r="G16" s="4" t="s">
        <v>116</v>
      </c>
      <c r="H16" s="4" cm="1">
        <f t="array" ref="H16">_xlfn.SWITCH(G16,"XS",1,"S",2,"M",3,"L",5,"XL",8,"XXL",13,"XXXL",21,"")</f>
        <v>1</v>
      </c>
      <c r="I16" s="4"/>
      <c r="J16" s="4" t="s">
        <v>29</v>
      </c>
      <c r="K16" s="4"/>
      <c r="L16" s="4" t="s">
        <v>10</v>
      </c>
    </row>
    <row r="17" spans="1:12" x14ac:dyDescent="0.3">
      <c r="A17" s="4">
        <v>21</v>
      </c>
      <c r="B17" s="4" t="s">
        <v>8</v>
      </c>
      <c r="C17" s="4">
        <v>1.3</v>
      </c>
      <c r="D17" s="4" t="s">
        <v>44</v>
      </c>
      <c r="E17" s="5" t="s">
        <v>43</v>
      </c>
      <c r="F17" s="4" t="s">
        <v>109</v>
      </c>
      <c r="G17" s="4" t="s">
        <v>104</v>
      </c>
      <c r="H17" s="4" cm="1">
        <f t="array" ref="H17">_xlfn.SWITCH(G17,"XS",1,"S",2,"M",3,"L",5,"XL",8,"XXL",13,"XXXL",21,"")</f>
        <v>2</v>
      </c>
      <c r="I17" s="4"/>
      <c r="J17" s="4" t="s">
        <v>29</v>
      </c>
      <c r="K17" s="4"/>
      <c r="L17" s="4" t="s">
        <v>10</v>
      </c>
    </row>
    <row r="18" spans="1:12" x14ac:dyDescent="0.3">
      <c r="A18" s="4">
        <v>22</v>
      </c>
      <c r="B18" s="4" t="s">
        <v>8</v>
      </c>
      <c r="C18" s="4">
        <v>1.3</v>
      </c>
      <c r="D18" s="4" t="s">
        <v>44</v>
      </c>
      <c r="E18" s="5" t="s">
        <v>38</v>
      </c>
      <c r="F18" s="4" t="s">
        <v>109</v>
      </c>
      <c r="G18" s="4" t="s">
        <v>104</v>
      </c>
      <c r="H18" s="4" cm="1">
        <f t="array" ref="H18">_xlfn.SWITCH(G18,"XS",1,"S",2,"M",3,"L",5,"XL",8,"XXL",13,"XXXL",21,"")</f>
        <v>2</v>
      </c>
      <c r="I18" s="4"/>
      <c r="J18" s="4" t="s">
        <v>29</v>
      </c>
      <c r="K18" s="4"/>
      <c r="L18" s="4" t="s">
        <v>10</v>
      </c>
    </row>
    <row r="19" spans="1:12" ht="57.6" x14ac:dyDescent="0.3">
      <c r="A19" s="4">
        <v>23</v>
      </c>
      <c r="B19" s="4" t="s">
        <v>8</v>
      </c>
      <c r="C19" s="4">
        <v>1.3</v>
      </c>
      <c r="D19" s="4" t="s">
        <v>44</v>
      </c>
      <c r="E19" s="5" t="s">
        <v>118</v>
      </c>
      <c r="F19" s="4" t="s">
        <v>109</v>
      </c>
      <c r="G19" s="4" t="s">
        <v>107</v>
      </c>
      <c r="H19" s="4" cm="1">
        <f t="array" ref="H19">_xlfn.SWITCH(G19,"XS",1,"S",2,"M",3,"L",5,"XL",8,"XXL",13,"XXXL",21,"")</f>
        <v>8</v>
      </c>
      <c r="I19" s="4"/>
      <c r="J19" s="4" t="s">
        <v>29</v>
      </c>
      <c r="K19" s="4"/>
      <c r="L19" s="4" t="s">
        <v>10</v>
      </c>
    </row>
    <row r="20" spans="1:12" x14ac:dyDescent="0.3">
      <c r="A20" s="4">
        <v>27</v>
      </c>
      <c r="B20" s="4" t="s">
        <v>8</v>
      </c>
      <c r="C20" s="4">
        <v>1.3</v>
      </c>
      <c r="D20" s="4" t="s">
        <v>44</v>
      </c>
      <c r="E20" s="5" t="s">
        <v>46</v>
      </c>
      <c r="F20" s="4" t="s">
        <v>109</v>
      </c>
      <c r="G20" s="4" t="s">
        <v>112</v>
      </c>
      <c r="H20" s="4" cm="1">
        <f t="array" ref="H20">_xlfn.SWITCH(G20,"XS",1,"S",2,"M",3,"L",5,"XL",8,"XXL",13,"XXXL",21,"")</f>
        <v>5</v>
      </c>
      <c r="I20" s="4"/>
      <c r="J20" s="4" t="s">
        <v>29</v>
      </c>
      <c r="K20" s="4"/>
      <c r="L20" s="4" t="s">
        <v>10</v>
      </c>
    </row>
    <row r="21" spans="1:12" x14ac:dyDescent="0.3">
      <c r="A21" s="4">
        <v>28</v>
      </c>
      <c r="B21" s="4" t="s">
        <v>8</v>
      </c>
      <c r="C21" s="4">
        <v>1.3</v>
      </c>
      <c r="D21" s="4" t="s">
        <v>44</v>
      </c>
      <c r="E21" s="5" t="s">
        <v>47</v>
      </c>
      <c r="F21" s="4" t="s">
        <v>110</v>
      </c>
      <c r="G21" s="4" t="s">
        <v>106</v>
      </c>
      <c r="H21" s="4" cm="1">
        <f t="array" ref="H21">_xlfn.SWITCH(G21,"XS",1,"S",2,"M",3,"L",5,"XL",8,"XXL",13,"XXXL",21,"")</f>
        <v>3</v>
      </c>
      <c r="I21" s="4"/>
      <c r="J21" s="4" t="s">
        <v>29</v>
      </c>
      <c r="K21" s="4"/>
      <c r="L21" s="4" t="s">
        <v>10</v>
      </c>
    </row>
    <row r="22" spans="1:12" x14ac:dyDescent="0.3">
      <c r="A22" s="4">
        <v>29</v>
      </c>
      <c r="B22" s="4" t="s">
        <v>8</v>
      </c>
      <c r="C22" s="4">
        <v>1.3</v>
      </c>
      <c r="D22" s="4" t="s">
        <v>44</v>
      </c>
      <c r="E22" s="5" t="s">
        <v>48</v>
      </c>
      <c r="F22" s="4" t="s">
        <v>110</v>
      </c>
      <c r="G22" s="4" t="s">
        <v>106</v>
      </c>
      <c r="H22" s="4" cm="1">
        <f t="array" ref="H22">_xlfn.SWITCH(G22,"XS",1,"S",2,"M",3,"L",5,"XL",8,"XXL",13,"XXXL",21,"")</f>
        <v>3</v>
      </c>
      <c r="I22" s="4"/>
      <c r="J22" s="4" t="s">
        <v>29</v>
      </c>
      <c r="K22" s="4"/>
      <c r="L22" s="4" t="s">
        <v>10</v>
      </c>
    </row>
    <row r="23" spans="1:12" x14ac:dyDescent="0.3">
      <c r="A23" s="4">
        <v>30</v>
      </c>
      <c r="B23" s="4" t="s">
        <v>8</v>
      </c>
      <c r="C23" s="4">
        <v>1.3</v>
      </c>
      <c r="D23" s="4" t="s">
        <v>44</v>
      </c>
      <c r="E23" s="5" t="s">
        <v>49</v>
      </c>
      <c r="F23" s="4" t="s">
        <v>110</v>
      </c>
      <c r="G23" s="4" t="s">
        <v>106</v>
      </c>
      <c r="H23" s="4" cm="1">
        <f t="array" ref="H23">_xlfn.SWITCH(G23,"XS",1,"S",2,"M",3,"L",5,"XL",8,"XXL",13,"XXXL",21,"")</f>
        <v>3</v>
      </c>
      <c r="I23" s="4"/>
      <c r="J23" s="4" t="s">
        <v>29</v>
      </c>
      <c r="K23" s="4"/>
      <c r="L23" s="4" t="s">
        <v>10</v>
      </c>
    </row>
    <row r="24" spans="1:12" x14ac:dyDescent="0.3">
      <c r="A24" s="4">
        <v>31</v>
      </c>
      <c r="B24" s="4" t="s">
        <v>8</v>
      </c>
      <c r="C24" s="4">
        <v>1.3</v>
      </c>
      <c r="D24" s="4" t="s">
        <v>44</v>
      </c>
      <c r="E24" s="5" t="s">
        <v>51</v>
      </c>
      <c r="F24" s="4" t="s">
        <v>110</v>
      </c>
      <c r="G24" s="4" t="s">
        <v>106</v>
      </c>
      <c r="H24" s="4" cm="1">
        <f t="array" ref="H24">_xlfn.SWITCH(G24,"XS",1,"S",2,"M",3,"L",5,"XL",8,"XXL",13,"XXXL",21,"")</f>
        <v>3</v>
      </c>
      <c r="I24" s="4"/>
      <c r="J24" s="4" t="s">
        <v>29</v>
      </c>
      <c r="K24" s="4"/>
      <c r="L24" s="4" t="s">
        <v>10</v>
      </c>
    </row>
    <row r="25" spans="1:12" x14ac:dyDescent="0.3">
      <c r="A25" s="4">
        <v>32</v>
      </c>
      <c r="B25" s="4" t="s">
        <v>8</v>
      </c>
      <c r="C25" s="4">
        <v>1.3</v>
      </c>
      <c r="D25" s="4" t="s">
        <v>44</v>
      </c>
      <c r="E25" s="5" t="s">
        <v>52</v>
      </c>
      <c r="F25" s="4" t="s">
        <v>110</v>
      </c>
      <c r="G25" s="4" t="s">
        <v>106</v>
      </c>
      <c r="H25" s="4" cm="1">
        <f t="array" ref="H25">_xlfn.SWITCH(G25,"XS",1,"S",2,"M",3,"L",5,"XL",8,"XXL",13,"XXXL",21,"")</f>
        <v>3</v>
      </c>
      <c r="I25" s="4"/>
      <c r="J25" s="4" t="s">
        <v>29</v>
      </c>
      <c r="K25" s="4"/>
      <c r="L25" s="4" t="s">
        <v>10</v>
      </c>
    </row>
    <row r="26" spans="1:12" x14ac:dyDescent="0.3">
      <c r="A26" s="4">
        <v>33</v>
      </c>
      <c r="B26" s="4" t="s">
        <v>8</v>
      </c>
      <c r="C26" s="4">
        <v>1.3</v>
      </c>
      <c r="D26" s="4" t="s">
        <v>44</v>
      </c>
      <c r="E26" s="5" t="s">
        <v>54</v>
      </c>
      <c r="F26" s="4" t="s">
        <v>110</v>
      </c>
      <c r="G26" s="4" t="s">
        <v>104</v>
      </c>
      <c r="H26" s="4" cm="1">
        <f t="array" ref="H26">_xlfn.SWITCH(G26,"XS",1,"S",2,"M",3,"L",5,"XL",8,"XXL",13,"XXXL",21,"")</f>
        <v>2</v>
      </c>
      <c r="I26" s="4"/>
      <c r="J26" s="4" t="s">
        <v>29</v>
      </c>
      <c r="K26" s="4"/>
      <c r="L26" s="4" t="s">
        <v>10</v>
      </c>
    </row>
    <row r="27" spans="1:12" x14ac:dyDescent="0.3">
      <c r="A27" s="4">
        <v>34</v>
      </c>
      <c r="B27" s="4" t="s">
        <v>8</v>
      </c>
      <c r="C27" s="4">
        <v>1.3</v>
      </c>
      <c r="D27" s="4" t="s">
        <v>44</v>
      </c>
      <c r="E27" s="5" t="s">
        <v>55</v>
      </c>
      <c r="F27" s="4" t="s">
        <v>110</v>
      </c>
      <c r="G27" s="4" t="s">
        <v>104</v>
      </c>
      <c r="H27" s="4" cm="1">
        <f t="array" ref="H27">_xlfn.SWITCH(G27,"XS",1,"S",2,"M",3,"L",5,"XL",8,"XXL",13,"XXXL",21,"")</f>
        <v>2</v>
      </c>
      <c r="I27" s="4"/>
      <c r="J27" s="4" t="s">
        <v>29</v>
      </c>
      <c r="K27" s="4"/>
      <c r="L27" s="4" t="s">
        <v>10</v>
      </c>
    </row>
    <row r="28" spans="1:12" x14ac:dyDescent="0.3">
      <c r="A28" s="4">
        <v>35</v>
      </c>
      <c r="B28" s="4" t="s">
        <v>8</v>
      </c>
      <c r="C28" s="4">
        <v>1.3</v>
      </c>
      <c r="D28" s="4" t="s">
        <v>44</v>
      </c>
      <c r="E28" s="5" t="s">
        <v>53</v>
      </c>
      <c r="F28" s="4" t="s">
        <v>11</v>
      </c>
      <c r="G28" s="4" t="s">
        <v>116</v>
      </c>
      <c r="H28" s="4" cm="1">
        <f t="array" ref="H28">_xlfn.SWITCH(G28,"XS",1,"S",2,"M",3,"L",5,"XL",8,"XXL",13,"XXXL",21,"")</f>
        <v>1</v>
      </c>
      <c r="I28" s="4"/>
      <c r="J28" s="4" t="s">
        <v>29</v>
      </c>
      <c r="K28" s="4"/>
      <c r="L28" s="4" t="s">
        <v>10</v>
      </c>
    </row>
    <row r="29" spans="1:12" x14ac:dyDescent="0.3">
      <c r="A29" s="4">
        <v>36</v>
      </c>
      <c r="B29" s="4" t="s">
        <v>8</v>
      </c>
      <c r="C29" s="4">
        <v>1.3</v>
      </c>
      <c r="D29" s="4" t="s">
        <v>44</v>
      </c>
      <c r="E29" s="5" t="s">
        <v>50</v>
      </c>
      <c r="F29" s="4" t="s">
        <v>110</v>
      </c>
      <c r="G29" s="4" t="s">
        <v>106</v>
      </c>
      <c r="H29" s="4" cm="1">
        <f t="array" ref="H29">_xlfn.SWITCH(G29,"XS",1,"S",2,"M",3,"L",5,"XL",8,"XXL",13,"XXXL",21,"")</f>
        <v>3</v>
      </c>
      <c r="I29" s="4"/>
      <c r="J29" s="4" t="s">
        <v>29</v>
      </c>
      <c r="K29" s="4"/>
      <c r="L29" s="4" t="s">
        <v>10</v>
      </c>
    </row>
    <row r="30" spans="1:12" x14ac:dyDescent="0.3">
      <c r="A30" s="4">
        <v>37</v>
      </c>
      <c r="B30" s="4" t="s">
        <v>8</v>
      </c>
      <c r="C30" s="4"/>
      <c r="D30" s="4"/>
      <c r="E30" s="5" t="s">
        <v>56</v>
      </c>
      <c r="F30" s="4" t="s">
        <v>110</v>
      </c>
      <c r="G30" s="4" t="s">
        <v>106</v>
      </c>
      <c r="H30" s="4" cm="1">
        <f t="array" ref="H30">_xlfn.SWITCH(G30,"XS",1,"S",2,"M",3,"L",5,"XL",8,"XXL",13,"XXXL",21,"")</f>
        <v>3</v>
      </c>
      <c r="I30" s="4"/>
      <c r="J30" s="4" t="s">
        <v>29</v>
      </c>
      <c r="K30" s="4"/>
      <c r="L30" s="4" t="s">
        <v>10</v>
      </c>
    </row>
    <row r="31" spans="1:12" x14ac:dyDescent="0.3">
      <c r="A31" s="4">
        <v>38</v>
      </c>
      <c r="B31" s="4" t="s">
        <v>8</v>
      </c>
      <c r="C31" s="4"/>
      <c r="D31" s="4"/>
      <c r="E31" s="5" t="s">
        <v>57</v>
      </c>
      <c r="F31" s="4" t="s">
        <v>110</v>
      </c>
      <c r="G31" s="4" t="s">
        <v>106</v>
      </c>
      <c r="H31" s="4" cm="1">
        <f t="array" ref="H31">_xlfn.SWITCH(G31,"XS",1,"S",2,"M",3,"L",5,"XL",8,"XXL",13,"XXXL",21,"")</f>
        <v>3</v>
      </c>
      <c r="I31" s="4"/>
      <c r="J31" s="4" t="s">
        <v>29</v>
      </c>
      <c r="K31" s="4"/>
      <c r="L31" s="4" t="s">
        <v>10</v>
      </c>
    </row>
    <row r="32" spans="1:12" x14ac:dyDescent="0.3">
      <c r="A32" s="4">
        <v>39</v>
      </c>
      <c r="B32" s="4" t="s">
        <v>8</v>
      </c>
      <c r="C32" s="4"/>
      <c r="D32" s="4"/>
      <c r="E32" s="5" t="s">
        <v>58</v>
      </c>
      <c r="F32" s="4" t="s">
        <v>110</v>
      </c>
      <c r="G32" s="4" t="s">
        <v>106</v>
      </c>
      <c r="H32" s="4" cm="1">
        <f t="array" ref="H32">_xlfn.SWITCH(G32,"XS",1,"S",2,"M",3,"L",5,"XL",8,"XXL",13,"XXXL",21,"")</f>
        <v>3</v>
      </c>
      <c r="I32" s="4"/>
      <c r="J32" s="4" t="s">
        <v>29</v>
      </c>
      <c r="K32" s="4"/>
      <c r="L32" s="4" t="s">
        <v>10</v>
      </c>
    </row>
    <row r="33" spans="1:12" x14ac:dyDescent="0.3">
      <c r="A33" s="4">
        <v>40</v>
      </c>
      <c r="B33" s="4" t="s">
        <v>8</v>
      </c>
      <c r="C33" s="4"/>
      <c r="D33" s="4"/>
      <c r="E33" s="5" t="s">
        <v>59</v>
      </c>
      <c r="F33" s="4" t="s">
        <v>110</v>
      </c>
      <c r="G33" s="4" t="s">
        <v>106</v>
      </c>
      <c r="H33" s="4" cm="1">
        <f t="array" ref="H33">_xlfn.SWITCH(G33,"XS",1,"S",2,"M",3,"L",5,"XL",8,"XXL",13,"XXXL",21,"")</f>
        <v>3</v>
      </c>
      <c r="I33" s="4"/>
      <c r="J33" s="4" t="s">
        <v>29</v>
      </c>
      <c r="K33" s="4"/>
      <c r="L33" s="4" t="s">
        <v>10</v>
      </c>
    </row>
    <row r="34" spans="1:12" x14ac:dyDescent="0.3">
      <c r="A34" s="4">
        <v>41</v>
      </c>
      <c r="B34" s="4" t="s">
        <v>8</v>
      </c>
      <c r="C34" s="4"/>
      <c r="D34" s="4"/>
      <c r="E34" s="5" t="s">
        <v>60</v>
      </c>
      <c r="F34" s="4" t="s">
        <v>110</v>
      </c>
      <c r="G34" s="4" t="s">
        <v>106</v>
      </c>
      <c r="H34" s="4" cm="1">
        <f t="array" ref="H34">_xlfn.SWITCH(G34,"XS",1,"S",2,"M",3,"L",5,"XL",8,"XXL",13,"XXXL",21,"")</f>
        <v>3</v>
      </c>
      <c r="I34" s="4"/>
      <c r="J34" s="4" t="s">
        <v>29</v>
      </c>
      <c r="K34" s="4"/>
      <c r="L34" s="4" t="s">
        <v>10</v>
      </c>
    </row>
    <row r="35" spans="1:12" ht="43.2" x14ac:dyDescent="0.3">
      <c r="A35" s="4">
        <v>42</v>
      </c>
      <c r="B35" s="4" t="s">
        <v>8</v>
      </c>
      <c r="C35" s="4"/>
      <c r="D35" s="4"/>
      <c r="E35" s="5" t="s">
        <v>61</v>
      </c>
      <c r="F35" s="4" t="s">
        <v>110</v>
      </c>
      <c r="G35" s="4" t="s">
        <v>106</v>
      </c>
      <c r="H35" s="4" cm="1">
        <f t="array" ref="H35">_xlfn.SWITCH(G35,"XS",1,"S",2,"M",3,"L",5,"XL",8,"XXL",13,"XXXL",21,"")</f>
        <v>3</v>
      </c>
      <c r="I35" s="4"/>
      <c r="J35" s="4" t="s">
        <v>29</v>
      </c>
      <c r="K35" s="4"/>
      <c r="L35" s="4" t="s">
        <v>10</v>
      </c>
    </row>
    <row r="36" spans="1:12" x14ac:dyDescent="0.3">
      <c r="A36" s="4">
        <v>43</v>
      </c>
      <c r="B36" s="4" t="s">
        <v>8</v>
      </c>
      <c r="C36" s="4"/>
      <c r="D36" s="4" t="s">
        <v>74</v>
      </c>
      <c r="E36" s="5" t="s">
        <v>63</v>
      </c>
      <c r="F36" s="4" t="s">
        <v>11</v>
      </c>
      <c r="G36" s="4" t="s">
        <v>116</v>
      </c>
      <c r="H36" s="4" cm="1">
        <f t="array" ref="H36">_xlfn.SWITCH(G36,"XS",1,"S",2,"M",3,"L",5,"XL",8,"XXL",13,"XXXL",21,"")</f>
        <v>1</v>
      </c>
      <c r="I36" s="4"/>
      <c r="J36" s="4" t="s">
        <v>29</v>
      </c>
      <c r="K36" s="4"/>
      <c r="L36" s="4" t="s">
        <v>10</v>
      </c>
    </row>
    <row r="37" spans="1:12" x14ac:dyDescent="0.3">
      <c r="A37" s="4">
        <v>44</v>
      </c>
      <c r="B37" s="4" t="s">
        <v>8</v>
      </c>
      <c r="C37" s="4"/>
      <c r="D37" s="4"/>
      <c r="E37" s="5" t="s">
        <v>64</v>
      </c>
      <c r="F37" s="4" t="s">
        <v>110</v>
      </c>
      <c r="G37" s="4" t="s">
        <v>106</v>
      </c>
      <c r="H37" s="4" cm="1">
        <f t="array" ref="H37">_xlfn.SWITCH(G37,"XS",1,"S",2,"M",3,"L",5,"XL",8,"XXL",13,"XXXL",21,"")</f>
        <v>3</v>
      </c>
      <c r="I37" s="4"/>
      <c r="J37" s="4" t="s">
        <v>29</v>
      </c>
      <c r="K37" s="4"/>
      <c r="L37" s="4" t="s">
        <v>10</v>
      </c>
    </row>
    <row r="38" spans="1:12" x14ac:dyDescent="0.3">
      <c r="A38" s="4">
        <v>45</v>
      </c>
      <c r="B38" s="4" t="s">
        <v>8</v>
      </c>
      <c r="C38" s="4"/>
      <c r="D38" s="4"/>
      <c r="E38" s="5" t="s">
        <v>65</v>
      </c>
      <c r="F38" s="4" t="s">
        <v>110</v>
      </c>
      <c r="G38" s="4" t="s">
        <v>106</v>
      </c>
      <c r="H38" s="4" cm="1">
        <f t="array" ref="H38">_xlfn.SWITCH(G38,"XS",1,"S",2,"M",3,"L",5,"XL",8,"XXL",13,"XXXL",21,"")</f>
        <v>3</v>
      </c>
      <c r="I38" s="4"/>
      <c r="J38" s="4" t="s">
        <v>29</v>
      </c>
      <c r="K38" s="4"/>
      <c r="L38" s="4" t="s">
        <v>10</v>
      </c>
    </row>
    <row r="39" spans="1:12" x14ac:dyDescent="0.3">
      <c r="A39" s="4">
        <v>46</v>
      </c>
      <c r="B39" s="4" t="s">
        <v>8</v>
      </c>
      <c r="C39" s="4"/>
      <c r="D39" s="4"/>
      <c r="E39" s="5" t="s">
        <v>66</v>
      </c>
      <c r="F39" s="4" t="s">
        <v>110</v>
      </c>
      <c r="G39" s="4" t="s">
        <v>106</v>
      </c>
      <c r="H39" s="4" cm="1">
        <f t="array" ref="H39">_xlfn.SWITCH(G39,"XS",1,"S",2,"M",3,"L",5,"XL",8,"XXL",13,"XXXL",21,"")</f>
        <v>3</v>
      </c>
      <c r="I39" s="4"/>
      <c r="J39" s="4" t="s">
        <v>29</v>
      </c>
      <c r="K39" s="4"/>
      <c r="L39" s="4" t="s">
        <v>10</v>
      </c>
    </row>
    <row r="40" spans="1:12" x14ac:dyDescent="0.3">
      <c r="A40" s="4">
        <v>47</v>
      </c>
      <c r="B40" s="4" t="s">
        <v>8</v>
      </c>
      <c r="C40" s="4"/>
      <c r="D40" s="4"/>
      <c r="E40" s="5" t="s">
        <v>62</v>
      </c>
      <c r="F40" s="4" t="s">
        <v>110</v>
      </c>
      <c r="G40" s="4" t="s">
        <v>106</v>
      </c>
      <c r="H40" s="4" cm="1">
        <f t="array" ref="H40">_xlfn.SWITCH(G40,"XS",1,"S",2,"M",3,"L",5,"XL",8,"XXL",13,"XXXL",21,"")</f>
        <v>3</v>
      </c>
      <c r="I40" s="4"/>
      <c r="J40" s="4" t="s">
        <v>29</v>
      </c>
      <c r="K40" s="4"/>
      <c r="L40" s="4" t="s">
        <v>10</v>
      </c>
    </row>
    <row r="41" spans="1:12" x14ac:dyDescent="0.3">
      <c r="A41" s="4">
        <v>48</v>
      </c>
      <c r="B41" s="4" t="s">
        <v>8</v>
      </c>
      <c r="C41" s="4"/>
      <c r="D41" s="4"/>
      <c r="E41" s="5" t="s">
        <v>68</v>
      </c>
      <c r="F41" s="4" t="s">
        <v>110</v>
      </c>
      <c r="G41" s="4" t="s">
        <v>106</v>
      </c>
      <c r="H41" s="4" cm="1">
        <f t="array" ref="H41">_xlfn.SWITCH(G41,"XS",1,"S",2,"M",3,"L",5,"XL",8,"XXL",13,"XXXL",21,"")</f>
        <v>3</v>
      </c>
      <c r="I41" s="4"/>
      <c r="J41" s="4" t="s">
        <v>29</v>
      </c>
      <c r="K41" s="4"/>
      <c r="L41" s="4" t="s">
        <v>10</v>
      </c>
    </row>
    <row r="42" spans="1:12" x14ac:dyDescent="0.3">
      <c r="A42" s="4">
        <v>49</v>
      </c>
      <c r="B42" s="4" t="s">
        <v>8</v>
      </c>
      <c r="C42" s="4"/>
      <c r="D42" s="4"/>
      <c r="E42" s="5" t="s">
        <v>69</v>
      </c>
      <c r="F42" s="4" t="s">
        <v>110</v>
      </c>
      <c r="G42" s="4" t="s">
        <v>106</v>
      </c>
      <c r="H42" s="4" cm="1">
        <f t="array" ref="H42">_xlfn.SWITCH(G42,"XS",1,"S",2,"M",3,"L",5,"XL",8,"XXL",13,"XXXL",21,"")</f>
        <v>3</v>
      </c>
      <c r="I42" s="4"/>
      <c r="J42" s="4" t="s">
        <v>29</v>
      </c>
      <c r="K42" s="4"/>
      <c r="L42" s="4" t="s">
        <v>10</v>
      </c>
    </row>
    <row r="43" spans="1:12" x14ac:dyDescent="0.3">
      <c r="A43" s="4">
        <v>50</v>
      </c>
      <c r="B43" s="4" t="s">
        <v>8</v>
      </c>
      <c r="C43" s="4"/>
      <c r="D43" s="4"/>
      <c r="E43" s="5" t="s">
        <v>70</v>
      </c>
      <c r="F43" s="4" t="s">
        <v>110</v>
      </c>
      <c r="G43" s="4" t="s">
        <v>106</v>
      </c>
      <c r="H43" s="4" cm="1">
        <f t="array" ref="H43">_xlfn.SWITCH(G43,"XS",1,"S",2,"M",3,"L",5,"XL",8,"XXL",13,"XXXL",21,"")</f>
        <v>3</v>
      </c>
      <c r="I43" s="4"/>
      <c r="J43" s="4" t="s">
        <v>29</v>
      </c>
      <c r="K43" s="4"/>
      <c r="L43" s="4" t="s">
        <v>10</v>
      </c>
    </row>
    <row r="44" spans="1:12" x14ac:dyDescent="0.3">
      <c r="A44" s="4">
        <v>51</v>
      </c>
      <c r="B44" s="4" t="s">
        <v>8</v>
      </c>
      <c r="C44" s="4"/>
      <c r="D44" s="4"/>
      <c r="E44" s="5" t="s">
        <v>67</v>
      </c>
      <c r="F44" s="4" t="s">
        <v>110</v>
      </c>
      <c r="G44" s="4" t="s">
        <v>106</v>
      </c>
      <c r="H44" s="4" cm="1">
        <f t="array" ref="H44">_xlfn.SWITCH(G44,"XS",1,"S",2,"M",3,"L",5,"XL",8,"XXL",13,"XXXL",21,"")</f>
        <v>3</v>
      </c>
      <c r="I44" s="4"/>
      <c r="J44" s="4" t="s">
        <v>29</v>
      </c>
      <c r="K44" s="4"/>
      <c r="L44" s="4" t="s">
        <v>10</v>
      </c>
    </row>
    <row r="45" spans="1:12" x14ac:dyDescent="0.3">
      <c r="A45" s="4">
        <v>52</v>
      </c>
      <c r="B45" s="4" t="s">
        <v>8</v>
      </c>
      <c r="C45" s="4"/>
      <c r="D45" s="4"/>
      <c r="E45" s="5" t="s">
        <v>71</v>
      </c>
      <c r="F45" s="4" t="s">
        <v>110</v>
      </c>
      <c r="G45" s="4" t="s">
        <v>106</v>
      </c>
      <c r="H45" s="4" cm="1">
        <f t="array" ref="H45">_xlfn.SWITCH(G45,"XS",1,"S",2,"M",3,"L",5,"XL",8,"XXL",13,"XXXL",21,"")</f>
        <v>3</v>
      </c>
      <c r="I45" s="4"/>
      <c r="J45" s="4" t="s">
        <v>29</v>
      </c>
      <c r="K45" s="4"/>
      <c r="L45" s="4" t="s">
        <v>10</v>
      </c>
    </row>
    <row r="46" spans="1:12" x14ac:dyDescent="0.3">
      <c r="A46" s="4">
        <v>53</v>
      </c>
      <c r="B46" s="4" t="s">
        <v>8</v>
      </c>
      <c r="C46" s="4"/>
      <c r="D46" s="4"/>
      <c r="E46" s="5" t="s">
        <v>72</v>
      </c>
      <c r="F46" s="4" t="s">
        <v>110</v>
      </c>
      <c r="G46" s="4" t="s">
        <v>106</v>
      </c>
      <c r="H46" s="4" cm="1">
        <f t="array" ref="H46">_xlfn.SWITCH(G46,"XS",1,"S",2,"M",3,"L",5,"XL",8,"XXL",13,"XXXL",21,"")</f>
        <v>3</v>
      </c>
      <c r="I46" s="4"/>
      <c r="J46" s="4" t="s">
        <v>29</v>
      </c>
      <c r="K46" s="4"/>
      <c r="L46" s="4" t="s">
        <v>10</v>
      </c>
    </row>
    <row r="47" spans="1:12" x14ac:dyDescent="0.3">
      <c r="A47" s="4">
        <v>54</v>
      </c>
      <c r="B47" s="4" t="s">
        <v>8</v>
      </c>
      <c r="C47" s="4"/>
      <c r="D47" s="4"/>
      <c r="E47" s="5" t="s">
        <v>73</v>
      </c>
      <c r="F47" s="4" t="s">
        <v>110</v>
      </c>
      <c r="G47" s="4" t="s">
        <v>106</v>
      </c>
      <c r="H47" s="4" cm="1">
        <f t="array" ref="H47">_xlfn.SWITCH(G47,"XS",1,"S",2,"M",3,"L",5,"XL",8,"XXL",13,"XXXL",21,"")</f>
        <v>3</v>
      </c>
      <c r="I47" s="4"/>
      <c r="J47" s="4" t="s">
        <v>29</v>
      </c>
      <c r="K47" s="4"/>
      <c r="L47" s="4" t="s">
        <v>10</v>
      </c>
    </row>
    <row r="48" spans="1:12" ht="86.4" x14ac:dyDescent="0.3">
      <c r="A48" s="4">
        <v>55</v>
      </c>
      <c r="B48" s="4" t="s">
        <v>8</v>
      </c>
      <c r="C48" s="4"/>
      <c r="D48" s="4" t="s">
        <v>76</v>
      </c>
      <c r="E48" s="5" t="s">
        <v>120</v>
      </c>
      <c r="F48" s="4" t="s">
        <v>11</v>
      </c>
      <c r="G48" s="4" t="s">
        <v>112</v>
      </c>
      <c r="H48" s="4" cm="1">
        <f t="array" ref="H48">_xlfn.SWITCH(G48,"XS",1,"S",2,"M",3,"L",5,"XL",8,"XXL",13,"XXXL",21,"")</f>
        <v>5</v>
      </c>
      <c r="I48" s="4"/>
      <c r="J48" s="4" t="s">
        <v>29</v>
      </c>
      <c r="K48" s="4"/>
      <c r="L48" s="4" t="s">
        <v>10</v>
      </c>
    </row>
    <row r="49" spans="1:12" ht="57.6" x14ac:dyDescent="0.3">
      <c r="A49" s="4">
        <v>61</v>
      </c>
      <c r="B49" s="4" t="s">
        <v>8</v>
      </c>
      <c r="C49" s="4"/>
      <c r="D49" s="4"/>
      <c r="E49" s="5" t="s">
        <v>121</v>
      </c>
      <c r="F49" s="4" t="s">
        <v>110</v>
      </c>
      <c r="G49" s="4" t="s">
        <v>112</v>
      </c>
      <c r="H49" s="4" cm="1">
        <f t="array" ref="H49">_xlfn.SWITCH(G49,"XS",1,"S",2,"M",3,"L",5,"XL",8,"XXL",13,"XXXL",21,"")</f>
        <v>5</v>
      </c>
      <c r="I49" s="4"/>
      <c r="J49" s="4" t="s">
        <v>29</v>
      </c>
      <c r="K49" s="4"/>
      <c r="L49" s="4" t="s">
        <v>10</v>
      </c>
    </row>
    <row r="50" spans="1:12" x14ac:dyDescent="0.3">
      <c r="A50" s="4">
        <v>62</v>
      </c>
      <c r="B50" s="4" t="s">
        <v>8</v>
      </c>
      <c r="C50" s="4"/>
      <c r="D50" s="4"/>
      <c r="E50" s="5" t="s">
        <v>75</v>
      </c>
      <c r="F50" s="4" t="s">
        <v>11</v>
      </c>
      <c r="G50" s="4" t="s">
        <v>116</v>
      </c>
      <c r="H50" s="4" cm="1">
        <f t="array" ref="H50">_xlfn.SWITCH(G50,"XS",1,"S",2,"M",3,"L",5,"XL",8,"XXL",13,"XXXL",21,"")</f>
        <v>1</v>
      </c>
      <c r="I50" s="4"/>
      <c r="J50" s="4" t="s">
        <v>29</v>
      </c>
      <c r="K50" s="4"/>
      <c r="L50" s="4" t="s">
        <v>10</v>
      </c>
    </row>
    <row r="51" spans="1:12" x14ac:dyDescent="0.3">
      <c r="A51" s="4">
        <v>63</v>
      </c>
      <c r="B51" s="4" t="s">
        <v>8</v>
      </c>
      <c r="C51" s="4"/>
      <c r="D51" s="4" t="s">
        <v>81</v>
      </c>
      <c r="E51" s="5" t="s">
        <v>77</v>
      </c>
      <c r="F51" s="4" t="s">
        <v>11</v>
      </c>
      <c r="G51" s="4" t="s">
        <v>116</v>
      </c>
      <c r="H51" s="4" cm="1">
        <f t="array" ref="H51">_xlfn.SWITCH(G51,"XS",1,"S",2,"M",3,"L",5,"XL",8,"XXL",13,"XXXL",21,"")</f>
        <v>1</v>
      </c>
      <c r="I51" s="4"/>
      <c r="J51" s="4" t="s">
        <v>29</v>
      </c>
      <c r="K51" s="4"/>
      <c r="L51" s="4" t="s">
        <v>10</v>
      </c>
    </row>
    <row r="52" spans="1:12" x14ac:dyDescent="0.3">
      <c r="A52" s="4">
        <v>64</v>
      </c>
      <c r="B52" s="4" t="s">
        <v>8</v>
      </c>
      <c r="C52" s="4"/>
      <c r="D52" s="4"/>
      <c r="E52" s="5" t="s">
        <v>78</v>
      </c>
      <c r="F52" s="4" t="s">
        <v>11</v>
      </c>
      <c r="G52" s="4" t="s">
        <v>104</v>
      </c>
      <c r="H52" s="4" cm="1">
        <f t="array" ref="H52">_xlfn.SWITCH(G52,"XS",1,"S",2,"M",3,"L",5,"XL",8,"XXL",13,"XXXL",21,"")</f>
        <v>2</v>
      </c>
      <c r="I52" s="4"/>
      <c r="J52" s="4" t="s">
        <v>29</v>
      </c>
      <c r="K52" s="4"/>
      <c r="L52" s="4" t="s">
        <v>10</v>
      </c>
    </row>
    <row r="53" spans="1:12" x14ac:dyDescent="0.3">
      <c r="A53" s="4">
        <v>65</v>
      </c>
      <c r="B53" s="4" t="s">
        <v>8</v>
      </c>
      <c r="C53" s="4"/>
      <c r="D53" s="4"/>
      <c r="E53" s="2" t="s">
        <v>79</v>
      </c>
      <c r="F53" s="4" t="s">
        <v>11</v>
      </c>
      <c r="G53" s="4" t="s">
        <v>116</v>
      </c>
      <c r="H53" s="4" cm="1">
        <f t="array" ref="H53">_xlfn.SWITCH(G53,"XS",1,"S",2,"M",3,"L",5,"XL",8,"XXL",13,"XXXL",21,"")</f>
        <v>1</v>
      </c>
      <c r="I53" s="4"/>
      <c r="J53" s="4" t="s">
        <v>29</v>
      </c>
      <c r="K53" s="4"/>
      <c r="L53" s="4" t="s">
        <v>10</v>
      </c>
    </row>
    <row r="54" spans="1:12" x14ac:dyDescent="0.3">
      <c r="A54" s="4">
        <v>66</v>
      </c>
      <c r="B54" s="4" t="s">
        <v>8</v>
      </c>
      <c r="C54" s="4"/>
      <c r="D54" s="4"/>
      <c r="E54" s="5" t="s">
        <v>80</v>
      </c>
      <c r="F54" s="4" t="s">
        <v>110</v>
      </c>
      <c r="G54" s="4" t="s">
        <v>106</v>
      </c>
      <c r="H54" s="4" cm="1">
        <f t="array" ref="H54">_xlfn.SWITCH(G54,"XS",1,"S",2,"M",3,"L",5,"XL",8,"XXL",13,"XXXL",21,"")</f>
        <v>3</v>
      </c>
      <c r="I54" s="4"/>
      <c r="J54" s="4" t="s">
        <v>29</v>
      </c>
      <c r="K54" s="4"/>
      <c r="L54" s="4" t="s">
        <v>10</v>
      </c>
    </row>
    <row r="55" spans="1:12" x14ac:dyDescent="0.3">
      <c r="A55" s="4">
        <v>67</v>
      </c>
      <c r="B55" s="4" t="s">
        <v>8</v>
      </c>
      <c r="C55" s="4"/>
      <c r="D55" s="4" t="s">
        <v>87</v>
      </c>
      <c r="E55" s="5" t="s">
        <v>82</v>
      </c>
      <c r="F55" s="4" t="s">
        <v>11</v>
      </c>
      <c r="G55" s="4" t="s">
        <v>104</v>
      </c>
      <c r="H55" s="4" cm="1">
        <f t="array" ref="H55">_xlfn.SWITCH(G55,"XS",1,"S",2,"M",3,"L",5,"XL",8,"XXL",13,"XXXL",21,"")</f>
        <v>2</v>
      </c>
      <c r="I55" s="4"/>
      <c r="J55" s="4" t="s">
        <v>29</v>
      </c>
      <c r="K55" s="4"/>
      <c r="L55" s="4" t="s">
        <v>10</v>
      </c>
    </row>
    <row r="56" spans="1:12" x14ac:dyDescent="0.3">
      <c r="A56" s="4">
        <v>68</v>
      </c>
      <c r="B56" s="4" t="s">
        <v>8</v>
      </c>
      <c r="C56" s="4"/>
      <c r="D56" s="4"/>
      <c r="E56" s="5" t="s">
        <v>83</v>
      </c>
      <c r="F56" s="4" t="s">
        <v>110</v>
      </c>
      <c r="G56" s="4" t="s">
        <v>106</v>
      </c>
      <c r="H56" s="4" cm="1">
        <f t="array" ref="H56">_xlfn.SWITCH(G56,"XS",1,"S",2,"M",3,"L",5,"XL",8,"XXL",13,"XXXL",21,"")</f>
        <v>3</v>
      </c>
      <c r="I56" s="4"/>
      <c r="J56" s="4" t="s">
        <v>29</v>
      </c>
      <c r="K56" s="4"/>
      <c r="L56" s="4" t="s">
        <v>10</v>
      </c>
    </row>
    <row r="57" spans="1:12" x14ac:dyDescent="0.3">
      <c r="A57" s="4">
        <v>69</v>
      </c>
      <c r="B57" s="4" t="s">
        <v>8</v>
      </c>
      <c r="C57" s="4"/>
      <c r="D57" s="4"/>
      <c r="E57" s="5" t="s">
        <v>84</v>
      </c>
      <c r="F57" s="4" t="s">
        <v>110</v>
      </c>
      <c r="G57" s="4" t="s">
        <v>106</v>
      </c>
      <c r="H57" s="4" cm="1">
        <f t="array" ref="H57">_xlfn.SWITCH(G57,"XS",1,"S",2,"M",3,"L",5,"XL",8,"XXL",13,"XXXL",21,"")</f>
        <v>3</v>
      </c>
      <c r="I57" s="4"/>
      <c r="J57" s="4" t="s">
        <v>29</v>
      </c>
      <c r="K57" s="4"/>
      <c r="L57" s="4" t="s">
        <v>10</v>
      </c>
    </row>
    <row r="58" spans="1:12" x14ac:dyDescent="0.3">
      <c r="A58" s="4">
        <v>70</v>
      </c>
      <c r="B58" s="4" t="s">
        <v>8</v>
      </c>
      <c r="C58" s="4"/>
      <c r="D58" s="4"/>
      <c r="E58" s="5" t="s">
        <v>85</v>
      </c>
      <c r="F58" s="4" t="s">
        <v>110</v>
      </c>
      <c r="G58" s="4" t="s">
        <v>106</v>
      </c>
      <c r="H58" s="4" cm="1">
        <f t="array" ref="H58">_xlfn.SWITCH(G58,"XS",1,"S",2,"M",3,"L",5,"XL",8,"XXL",13,"XXXL",21,"")</f>
        <v>3</v>
      </c>
      <c r="I58" s="4"/>
      <c r="J58" s="4" t="s">
        <v>29</v>
      </c>
      <c r="K58" s="4"/>
      <c r="L58" s="4" t="s">
        <v>10</v>
      </c>
    </row>
    <row r="59" spans="1:12" x14ac:dyDescent="0.3">
      <c r="A59" s="4">
        <v>71</v>
      </c>
      <c r="B59" s="4" t="s">
        <v>8</v>
      </c>
      <c r="C59" s="4"/>
      <c r="D59" s="4"/>
      <c r="E59" s="5" t="s">
        <v>86</v>
      </c>
      <c r="F59" s="4" t="s">
        <v>110</v>
      </c>
      <c r="G59" s="4" t="s">
        <v>106</v>
      </c>
      <c r="H59" s="4" cm="1">
        <f t="array" ref="H59">_xlfn.SWITCH(G59,"XS",1,"S",2,"M",3,"L",5,"XL",8,"XXL",13,"XXXL",21,"")</f>
        <v>3</v>
      </c>
      <c r="I59" s="4"/>
      <c r="J59" s="4" t="s">
        <v>29</v>
      </c>
      <c r="K59" s="4"/>
      <c r="L59" s="4" t="s">
        <v>10</v>
      </c>
    </row>
    <row r="60" spans="1:12" x14ac:dyDescent="0.3">
      <c r="A60" s="4">
        <v>72</v>
      </c>
      <c r="B60" s="4" t="s">
        <v>8</v>
      </c>
      <c r="C60" s="4"/>
      <c r="D60" s="4" t="s">
        <v>93</v>
      </c>
      <c r="E60" s="5" t="s">
        <v>88</v>
      </c>
      <c r="F60" s="4" t="s">
        <v>11</v>
      </c>
      <c r="G60" s="4" t="s">
        <v>116</v>
      </c>
      <c r="H60" s="4" cm="1">
        <f t="array" ref="H60">_xlfn.SWITCH(G60,"XS",1,"S",2,"M",3,"L",5,"XL",8,"XXL",13,"XXXL",21,"")</f>
        <v>1</v>
      </c>
      <c r="I60" s="4"/>
      <c r="J60" s="4" t="s">
        <v>29</v>
      </c>
      <c r="K60" s="4"/>
      <c r="L60" s="4" t="s">
        <v>10</v>
      </c>
    </row>
    <row r="61" spans="1:12" x14ac:dyDescent="0.3">
      <c r="A61" s="4">
        <v>73</v>
      </c>
      <c r="B61" s="4" t="s">
        <v>8</v>
      </c>
      <c r="C61" s="4"/>
      <c r="D61" s="4"/>
      <c r="E61" s="5" t="s">
        <v>89</v>
      </c>
      <c r="F61" s="4" t="s">
        <v>110</v>
      </c>
      <c r="G61" s="4" t="s">
        <v>106</v>
      </c>
      <c r="H61" s="4" cm="1">
        <f t="array" ref="H61">_xlfn.SWITCH(G61,"XS",1,"S",2,"M",3,"L",5,"XL",8,"XXL",13,"XXXL",21,"")</f>
        <v>3</v>
      </c>
      <c r="I61" s="4"/>
      <c r="J61" s="4" t="s">
        <v>29</v>
      </c>
      <c r="K61" s="4"/>
      <c r="L61" s="4" t="s">
        <v>10</v>
      </c>
    </row>
    <row r="62" spans="1:12" x14ac:dyDescent="0.3">
      <c r="A62" s="4">
        <v>74</v>
      </c>
      <c r="B62" s="4" t="s">
        <v>8</v>
      </c>
      <c r="C62" s="4"/>
      <c r="D62" s="4"/>
      <c r="E62" s="5" t="s">
        <v>90</v>
      </c>
      <c r="F62" s="4" t="s">
        <v>110</v>
      </c>
      <c r="G62" s="4" t="s">
        <v>106</v>
      </c>
      <c r="H62" s="4" cm="1">
        <f t="array" ref="H62">_xlfn.SWITCH(G62,"XS",1,"S",2,"M",3,"L",5,"XL",8,"XXL",13,"XXXL",21,"")</f>
        <v>3</v>
      </c>
      <c r="I62" s="4"/>
      <c r="J62" s="4" t="s">
        <v>29</v>
      </c>
      <c r="K62" s="4"/>
      <c r="L62" s="4" t="s">
        <v>10</v>
      </c>
    </row>
    <row r="63" spans="1:12" x14ac:dyDescent="0.3">
      <c r="A63" s="4">
        <v>75</v>
      </c>
      <c r="B63" s="4" t="s">
        <v>8</v>
      </c>
      <c r="C63" s="4"/>
      <c r="D63" s="4"/>
      <c r="E63" s="5" t="s">
        <v>91</v>
      </c>
      <c r="F63" s="4" t="s">
        <v>110</v>
      </c>
      <c r="G63" s="4" t="s">
        <v>106</v>
      </c>
      <c r="H63" s="4" cm="1">
        <f t="array" ref="H63">_xlfn.SWITCH(G63,"XS",1,"S",2,"M",3,"L",5,"XL",8,"XXL",13,"XXXL",21,"")</f>
        <v>3</v>
      </c>
      <c r="I63" s="4"/>
      <c r="J63" s="4" t="s">
        <v>29</v>
      </c>
      <c r="K63" s="4"/>
      <c r="L63" s="4" t="s">
        <v>10</v>
      </c>
    </row>
    <row r="64" spans="1:12" x14ac:dyDescent="0.3">
      <c r="A64" s="4">
        <v>76</v>
      </c>
      <c r="B64" s="4" t="s">
        <v>8</v>
      </c>
      <c r="C64" s="4"/>
      <c r="D64" s="4"/>
      <c r="E64" s="5" t="s">
        <v>92</v>
      </c>
      <c r="F64" s="4" t="s">
        <v>110</v>
      </c>
      <c r="G64" s="4" t="s">
        <v>106</v>
      </c>
      <c r="H64" s="4" cm="1">
        <f t="array" ref="H64">_xlfn.SWITCH(G64,"XS",1,"S",2,"M",3,"L",5,"XL",8,"XXL",13,"XXXL",21,"")</f>
        <v>3</v>
      </c>
      <c r="I64" s="4"/>
      <c r="J64" s="4" t="s">
        <v>29</v>
      </c>
      <c r="K64" s="4"/>
      <c r="L64" s="4" t="s">
        <v>10</v>
      </c>
    </row>
    <row r="65" spans="1:12" ht="43.2" x14ac:dyDescent="0.3">
      <c r="A65" s="4">
        <v>77</v>
      </c>
      <c r="B65" s="4" t="s">
        <v>8</v>
      </c>
      <c r="C65" s="4"/>
      <c r="D65" s="4"/>
      <c r="E65" s="5" t="s">
        <v>122</v>
      </c>
      <c r="F65" s="4" t="s">
        <v>109</v>
      </c>
      <c r="G65" s="4" t="s">
        <v>107</v>
      </c>
      <c r="H65" s="4" cm="1">
        <f t="array" ref="H65">_xlfn.SWITCH(G65,"XS",1,"S",2,"M",3,"L",5,"XL",8,"XXL",13,"XXXL",21,"")</f>
        <v>8</v>
      </c>
      <c r="I65" s="4"/>
      <c r="J65" s="4" t="s">
        <v>29</v>
      </c>
      <c r="K65" s="4"/>
      <c r="L65" s="4" t="s">
        <v>10</v>
      </c>
    </row>
    <row r="66" spans="1:12" x14ac:dyDescent="0.3">
      <c r="A66" s="4">
        <v>80</v>
      </c>
      <c r="B66" s="4" t="s">
        <v>8</v>
      </c>
      <c r="C66" s="4"/>
      <c r="D66" s="4" t="s">
        <v>99</v>
      </c>
      <c r="E66" s="5" t="s">
        <v>94</v>
      </c>
      <c r="F66" s="4" t="s">
        <v>109</v>
      </c>
      <c r="G66" s="4" t="s">
        <v>112</v>
      </c>
      <c r="H66" s="4" cm="1">
        <f t="array" ref="H66">_xlfn.SWITCH(G66,"XS",1,"S",2,"M",3,"L",5,"XL",8,"XXL",13,"XXXL",21,"")</f>
        <v>5</v>
      </c>
      <c r="I66" s="4"/>
      <c r="J66" s="4" t="s">
        <v>29</v>
      </c>
      <c r="K66" s="4"/>
      <c r="L66" s="4" t="s">
        <v>10</v>
      </c>
    </row>
    <row r="67" spans="1:12" x14ac:dyDescent="0.3">
      <c r="A67" s="4">
        <v>81</v>
      </c>
      <c r="B67" s="4" t="s">
        <v>8</v>
      </c>
      <c r="C67" s="4"/>
      <c r="D67" s="4"/>
      <c r="E67" s="5" t="s">
        <v>95</v>
      </c>
      <c r="F67" s="4" t="s">
        <v>110</v>
      </c>
      <c r="G67" s="4" t="s">
        <v>106</v>
      </c>
      <c r="H67" s="4" cm="1">
        <f t="array" ref="H67">_xlfn.SWITCH(G67,"XS",1,"S",2,"M",3,"L",5,"XL",8,"XXL",13,"XXXL",21,"")</f>
        <v>3</v>
      </c>
      <c r="I67" s="4"/>
      <c r="J67" s="4" t="s">
        <v>29</v>
      </c>
      <c r="K67" s="4"/>
      <c r="L67" s="4" t="s">
        <v>10</v>
      </c>
    </row>
    <row r="68" spans="1:12" x14ac:dyDescent="0.3">
      <c r="A68" s="4">
        <v>82</v>
      </c>
      <c r="B68" s="4" t="s">
        <v>8</v>
      </c>
      <c r="C68" s="4"/>
      <c r="D68" s="4"/>
      <c r="E68" s="5" t="s">
        <v>96</v>
      </c>
      <c r="F68" s="4" t="s">
        <v>110</v>
      </c>
      <c r="G68" s="4" t="s">
        <v>106</v>
      </c>
      <c r="H68" s="4" cm="1">
        <f t="array" ref="H68">_xlfn.SWITCH(G68,"XS",1,"S",2,"M",3,"L",5,"XL",8,"XXL",13,"XXXL",21,"")</f>
        <v>3</v>
      </c>
      <c r="I68" s="4"/>
      <c r="J68" s="4" t="s">
        <v>29</v>
      </c>
      <c r="K68" s="4"/>
      <c r="L68" s="4" t="s">
        <v>10</v>
      </c>
    </row>
    <row r="69" spans="1:12" x14ac:dyDescent="0.3">
      <c r="A69" s="4">
        <v>83</v>
      </c>
      <c r="B69" s="4" t="s">
        <v>8</v>
      </c>
      <c r="C69" s="4"/>
      <c r="D69" s="4"/>
      <c r="E69" s="5" t="s">
        <v>97</v>
      </c>
      <c r="F69" s="4" t="s">
        <v>110</v>
      </c>
      <c r="G69" s="4" t="s">
        <v>106</v>
      </c>
      <c r="H69" s="4" cm="1">
        <f t="array" ref="H69">_xlfn.SWITCH(G69,"XS",1,"S",2,"M",3,"L",5,"XL",8,"XXL",13,"XXXL",21,"")</f>
        <v>3</v>
      </c>
      <c r="I69" s="4"/>
      <c r="J69" s="4" t="s">
        <v>29</v>
      </c>
      <c r="K69" s="4"/>
      <c r="L69" s="4" t="s">
        <v>10</v>
      </c>
    </row>
    <row r="70" spans="1:12" x14ac:dyDescent="0.3">
      <c r="A70" s="4">
        <v>84</v>
      </c>
      <c r="B70" s="4" t="s">
        <v>8</v>
      </c>
      <c r="C70" s="4"/>
      <c r="D70" s="4"/>
      <c r="E70" s="5" t="s">
        <v>98</v>
      </c>
      <c r="F70" s="4" t="s">
        <v>110</v>
      </c>
      <c r="G70" s="4" t="s">
        <v>106</v>
      </c>
      <c r="H70" s="4" cm="1">
        <f t="array" ref="H70">_xlfn.SWITCH(G70,"XS",1,"S",2,"M",3,"L",5,"XL",8,"XXL",13,"XXXL",21,"")</f>
        <v>3</v>
      </c>
      <c r="I70" s="4"/>
      <c r="J70" s="4" t="s">
        <v>29</v>
      </c>
      <c r="K70" s="4"/>
      <c r="L70" s="4" t="s">
        <v>10</v>
      </c>
    </row>
    <row r="71" spans="1:12" x14ac:dyDescent="0.3">
      <c r="A71" s="4">
        <v>85</v>
      </c>
      <c r="B71" s="4" t="s">
        <v>8</v>
      </c>
      <c r="C71" s="4"/>
      <c r="D71" s="4"/>
      <c r="E71" s="5" t="s">
        <v>101</v>
      </c>
      <c r="F71" s="4" t="s">
        <v>110</v>
      </c>
      <c r="G71" s="4" t="s">
        <v>106</v>
      </c>
      <c r="H71" s="4" cm="1">
        <f t="array" ref="H71">_xlfn.SWITCH(G71,"XS",1,"S",2,"M",3,"L",5,"XL",8,"XXL",13,"XXXL",21,"")</f>
        <v>3</v>
      </c>
      <c r="I71" s="4"/>
      <c r="J71" s="4" t="s">
        <v>29</v>
      </c>
      <c r="K71" s="4"/>
      <c r="L71" s="4" t="s">
        <v>10</v>
      </c>
    </row>
    <row r="72" spans="1:12" x14ac:dyDescent="0.3">
      <c r="A72" s="4">
        <v>86</v>
      </c>
      <c r="B72" s="4" t="s">
        <v>8</v>
      </c>
      <c r="C72" s="4"/>
      <c r="D72" s="4"/>
      <c r="E72" s="5" t="s">
        <v>100</v>
      </c>
      <c r="F72" s="4" t="s">
        <v>11</v>
      </c>
      <c r="G72" s="4" t="s">
        <v>104</v>
      </c>
      <c r="H72" s="4" cm="1">
        <f t="array" ref="H72">_xlfn.SWITCH(G72,"XS",1,"S",2,"M",3,"L",5,"XL",8,"XXL",13,"XXXL",21,"")</f>
        <v>2</v>
      </c>
      <c r="I72" s="4"/>
      <c r="J72" s="4" t="s">
        <v>29</v>
      </c>
      <c r="K72" s="4"/>
      <c r="L72" s="4" t="s">
        <v>10</v>
      </c>
    </row>
    <row r="73" spans="1:12" x14ac:dyDescent="0.3">
      <c r="A73" s="4">
        <v>87</v>
      </c>
      <c r="B73" s="4" t="s">
        <v>8</v>
      </c>
      <c r="C73" s="4"/>
      <c r="D73" s="4"/>
      <c r="E73" s="5" t="s">
        <v>102</v>
      </c>
      <c r="F73" s="4" t="s">
        <v>110</v>
      </c>
      <c r="G73" s="4" t="s">
        <v>104</v>
      </c>
      <c r="H73" s="4" cm="1">
        <f t="array" ref="H73">_xlfn.SWITCH(G73,"XS",1,"S",2,"M",3,"L",5,"XL",8,"XXL",13,"XXXL",21,"")</f>
        <v>2</v>
      </c>
      <c r="I73" s="4"/>
      <c r="J73" s="4" t="s">
        <v>29</v>
      </c>
      <c r="K73" s="4"/>
      <c r="L73" s="4" t="s">
        <v>10</v>
      </c>
    </row>
    <row r="74" spans="1:12" x14ac:dyDescent="0.3">
      <c r="A74" s="4">
        <v>88</v>
      </c>
      <c r="B74" s="4" t="s">
        <v>8</v>
      </c>
      <c r="C74" s="4"/>
      <c r="D74" s="4"/>
      <c r="E74" s="5" t="s">
        <v>51</v>
      </c>
      <c r="F74" s="4" t="s">
        <v>110</v>
      </c>
      <c r="G74" s="4" t="s">
        <v>106</v>
      </c>
      <c r="H74" s="4" cm="1">
        <f t="array" ref="H74">_xlfn.SWITCH(G74,"XS",1,"S",2,"M",3,"L",5,"XL",8,"XXL",13,"XXXL",21,"")</f>
        <v>3</v>
      </c>
      <c r="I74" s="4"/>
      <c r="J74" s="4" t="s">
        <v>29</v>
      </c>
      <c r="K74" s="4"/>
      <c r="L74" s="4" t="s">
        <v>10</v>
      </c>
    </row>
    <row r="75" spans="1:12" ht="72" x14ac:dyDescent="0.3">
      <c r="A75" s="4">
        <v>89</v>
      </c>
      <c r="B75" s="4" t="s">
        <v>8</v>
      </c>
      <c r="C75" s="4"/>
      <c r="D75" s="4"/>
      <c r="E75" s="5" t="s">
        <v>119</v>
      </c>
      <c r="F75" s="4" t="s">
        <v>110</v>
      </c>
      <c r="G75" s="4" t="s">
        <v>112</v>
      </c>
      <c r="H75" s="4" cm="1">
        <f t="array" ref="H75">_xlfn.SWITCH(G75,"XS",1,"S",2,"M",3,"L",5,"XL",8,"XXL",13,"XXXL",21,"")</f>
        <v>5</v>
      </c>
      <c r="I75" s="4"/>
      <c r="J75" s="4" t="s">
        <v>29</v>
      </c>
      <c r="K75" s="4"/>
      <c r="L75" s="4" t="s">
        <v>10</v>
      </c>
    </row>
    <row r="76" spans="1:12" x14ac:dyDescent="0.3">
      <c r="A76" s="4">
        <v>90</v>
      </c>
      <c r="B76" s="4" t="s">
        <v>8</v>
      </c>
      <c r="C76" s="4"/>
      <c r="D76" s="4"/>
      <c r="E76" s="5" t="s">
        <v>53</v>
      </c>
      <c r="F76" s="4" t="s">
        <v>11</v>
      </c>
      <c r="G76" s="4" t="s">
        <v>104</v>
      </c>
      <c r="H76" s="4" cm="1">
        <f t="array" ref="H76">_xlfn.SWITCH(G76,"XS",1,"S",2,"M",3,"L",5,"XL",8,"XXL",13,"XXXL",21,"")</f>
        <v>2</v>
      </c>
      <c r="I76" s="4"/>
      <c r="J76" s="4" t="s">
        <v>29</v>
      </c>
      <c r="K76" s="4"/>
      <c r="L76" s="4" t="s">
        <v>10</v>
      </c>
    </row>
    <row r="77" spans="1:12" x14ac:dyDescent="0.3">
      <c r="A77" s="4">
        <v>91</v>
      </c>
      <c r="B77" s="4" t="s">
        <v>8</v>
      </c>
      <c r="C77" s="4"/>
      <c r="D77" s="4"/>
      <c r="E77" s="4"/>
      <c r="F77" s="4"/>
      <c r="G77" s="4"/>
      <c r="H77" s="4" t="str" cm="1">
        <f t="array" ref="H77">_xlfn.SWITCH(G77,"XS",1,"S",2,"M",3,"L",5,"XL",8,"XXL",13,"XXXL",21,"")</f>
        <v/>
      </c>
      <c r="I77" s="4"/>
      <c r="J77" s="4"/>
      <c r="K77" s="4"/>
      <c r="L77" s="4"/>
    </row>
    <row r="78" spans="1:12" x14ac:dyDescent="0.3">
      <c r="A78" s="4">
        <v>92</v>
      </c>
      <c r="B78" s="4" t="s">
        <v>8</v>
      </c>
      <c r="C78" s="4"/>
      <c r="D78" s="4"/>
      <c r="E78" s="4"/>
      <c r="F78" s="4"/>
      <c r="G78" s="4"/>
      <c r="H78" s="4" t="str" cm="1">
        <f t="array" ref="H78">_xlfn.SWITCH(G78,"XS",1,"S",2,"M",3,"L",5,"XL",8,"XXL",13,"XXXL",21,"")</f>
        <v/>
      </c>
      <c r="I78" s="4"/>
      <c r="J78" s="4"/>
      <c r="K78" s="4"/>
      <c r="L78" s="4"/>
    </row>
    <row r="79" spans="1:12" x14ac:dyDescent="0.3">
      <c r="A79" s="4">
        <v>93</v>
      </c>
      <c r="B79" s="4" t="s">
        <v>8</v>
      </c>
      <c r="C79" s="4"/>
      <c r="D79" s="4"/>
      <c r="E79" s="4"/>
      <c r="F79" s="4"/>
      <c r="G79" s="4"/>
      <c r="H79" s="4" t="str" cm="1">
        <f t="array" ref="H79">_xlfn.SWITCH(G79,"XS",1,"S",2,"M",3,"L",5,"XL",8,"XXL",13,"XXXL",21,"")</f>
        <v/>
      </c>
      <c r="I79" s="4"/>
      <c r="J79" s="4"/>
      <c r="K79" s="4"/>
      <c r="L79" s="4"/>
    </row>
    <row r="80" spans="1:12" x14ac:dyDescent="0.3">
      <c r="A80" s="4">
        <v>94</v>
      </c>
      <c r="B80" s="4" t="s">
        <v>8</v>
      </c>
      <c r="C80" s="4"/>
      <c r="D80" s="4"/>
      <c r="E80" s="4"/>
      <c r="F80" s="4"/>
      <c r="G80" s="4"/>
      <c r="H80" s="4" t="str" cm="1">
        <f t="array" ref="H80">_xlfn.SWITCH(G80,"XS",1,"S",2,"M",3,"L",5,"XL",8,"XXL",13,"XXXL",21,"")</f>
        <v/>
      </c>
      <c r="I80" s="4"/>
      <c r="J80" s="4"/>
      <c r="K80" s="4"/>
      <c r="L80" s="4"/>
    </row>
    <row r="81" spans="1:12" x14ac:dyDescent="0.3">
      <c r="A81" s="4">
        <v>95</v>
      </c>
      <c r="B81" s="4" t="s">
        <v>8</v>
      </c>
      <c r="C81" s="4"/>
      <c r="D81" s="4"/>
      <c r="E81" s="4"/>
      <c r="F81" s="4"/>
      <c r="G81" s="4"/>
      <c r="H81" s="4" t="str" cm="1">
        <f t="array" ref="H81">_xlfn.SWITCH(G81,"XS",1,"S",2,"M",3,"L",5,"XL",8,"XXL",13,"XXXL",21,"")</f>
        <v/>
      </c>
      <c r="I81" s="4"/>
      <c r="J81" s="4"/>
      <c r="K81" s="4"/>
      <c r="L81" s="4"/>
    </row>
    <row r="82" spans="1:12" x14ac:dyDescent="0.3">
      <c r="A82" s="4">
        <v>96</v>
      </c>
      <c r="B82" s="4" t="s">
        <v>8</v>
      </c>
      <c r="C82" s="4"/>
      <c r="D82" s="4"/>
      <c r="E82" s="4"/>
      <c r="F82" s="4"/>
      <c r="G82" s="4"/>
      <c r="H82" s="4" t="str" cm="1">
        <f t="array" ref="H82">_xlfn.SWITCH(G82,"XS",1,"S",2,"M",3,"L",5,"XL",8,"XXL",13,"XXXL",21,"")</f>
        <v/>
      </c>
      <c r="I82" s="4"/>
      <c r="J82" s="4"/>
      <c r="K82" s="4"/>
      <c r="L82" s="4"/>
    </row>
    <row r="83" spans="1:12" x14ac:dyDescent="0.3">
      <c r="A83" s="4">
        <v>97</v>
      </c>
      <c r="B83" s="4" t="s">
        <v>8</v>
      </c>
      <c r="C83" s="4"/>
      <c r="D83" s="4"/>
      <c r="E83" s="4"/>
      <c r="F83" s="4"/>
      <c r="G83" s="4"/>
      <c r="H83" s="4" t="str" cm="1">
        <f t="array" ref="H83">_xlfn.SWITCH(G83,"XS",1,"S",2,"M",3,"L",5,"XL",8,"XXL",13,"XXXL",21,"")</f>
        <v/>
      </c>
      <c r="I83" s="4"/>
      <c r="J83" s="4"/>
      <c r="K83" s="4"/>
      <c r="L83" s="4"/>
    </row>
    <row r="84" spans="1:12" x14ac:dyDescent="0.3">
      <c r="A84" s="4">
        <v>98</v>
      </c>
      <c r="B84" s="4" t="s">
        <v>8</v>
      </c>
      <c r="C84" s="4"/>
      <c r="D84" s="4"/>
      <c r="E84" s="4"/>
      <c r="F84" s="4"/>
      <c r="G84" s="4"/>
      <c r="H84" s="4" t="str" cm="1">
        <f t="array" ref="H84">_xlfn.SWITCH(G84,"XS",1,"S",2,"M",3,"L",5,"XL",8,"XXL",13,"XXXL",21,"")</f>
        <v/>
      </c>
      <c r="I84" s="4"/>
      <c r="J84" s="4"/>
      <c r="K84" s="4"/>
      <c r="L84" s="4"/>
    </row>
    <row r="85" spans="1:12" x14ac:dyDescent="0.3">
      <c r="A85" s="4">
        <v>99</v>
      </c>
      <c r="B85" s="4" t="s">
        <v>8</v>
      </c>
      <c r="C85" s="4"/>
      <c r="D85" s="4"/>
      <c r="E85" s="4"/>
      <c r="F85" s="4"/>
      <c r="G85" s="4"/>
      <c r="H85" s="4" t="str" cm="1">
        <f t="array" ref="H85">_xlfn.SWITCH(G85,"XS",1,"S",2,"M",3,"L",5,"XL",8,"XXL",13,"XXXL",21,"")</f>
        <v/>
      </c>
      <c r="I85" s="4"/>
      <c r="J85" s="4"/>
      <c r="K85" s="4"/>
      <c r="L85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C2" sqref="C2"/>
    </sheetView>
  </sheetViews>
  <sheetFormatPr defaultColWidth="13.44140625" defaultRowHeight="14.4" x14ac:dyDescent="0.3"/>
  <cols>
    <col min="1" max="2" width="13.44140625" style="1"/>
    <col min="3" max="16384" width="13.44140625" style="6"/>
  </cols>
  <sheetData>
    <row r="1" spans="1:2" ht="43.2" x14ac:dyDescent="0.3">
      <c r="A1" s="1" t="s">
        <v>18</v>
      </c>
      <c r="B1" s="1" t="s">
        <v>114</v>
      </c>
    </row>
    <row r="2" spans="1:2" x14ac:dyDescent="0.3">
      <c r="A2" s="1" t="s">
        <v>19</v>
      </c>
    </row>
    <row r="3" spans="1:2" x14ac:dyDescent="0.3">
      <c r="A3" s="1" t="s">
        <v>20</v>
      </c>
    </row>
    <row r="4" spans="1:2" x14ac:dyDescent="0.3">
      <c r="A4" s="1" t="s">
        <v>21</v>
      </c>
    </row>
    <row r="5" spans="1:2" x14ac:dyDescent="0.3">
      <c r="A5" s="1" t="s">
        <v>22</v>
      </c>
    </row>
    <row r="6" spans="1:2" x14ac:dyDescent="0.3">
      <c r="A6" s="1" t="s">
        <v>23</v>
      </c>
    </row>
    <row r="7" spans="1:2" x14ac:dyDescent="0.3">
      <c r="A7" s="1" t="s">
        <v>24</v>
      </c>
    </row>
    <row r="8" spans="1:2" x14ac:dyDescent="0.3">
      <c r="A8" s="1" t="s">
        <v>25</v>
      </c>
    </row>
    <row r="9" spans="1:2" x14ac:dyDescent="0.3">
      <c r="A9" s="1" t="s">
        <v>26</v>
      </c>
    </row>
    <row r="10" spans="1:2" x14ac:dyDescent="0.3">
      <c r="A10" s="1" t="s">
        <v>27</v>
      </c>
    </row>
    <row r="11" spans="1:2" x14ac:dyDescent="0.3">
      <c r="A1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Board</vt:lpstr>
      <vt:lpstr>Daily Standup Guide</vt:lpstr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sayanb0978@gmail.com</cp:lastModifiedBy>
  <dcterms:created xsi:type="dcterms:W3CDTF">2026-01-01T14:00:11Z</dcterms:created>
  <dcterms:modified xsi:type="dcterms:W3CDTF">2026-01-02T13:16:18Z</dcterms:modified>
</cp:coreProperties>
</file>