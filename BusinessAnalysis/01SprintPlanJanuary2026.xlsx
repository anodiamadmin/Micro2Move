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40D25F64-9906-4B73-ACC0-5F7BC6227F26}" xr6:coauthVersionLast="47" xr6:coauthVersionMax="47" xr10:uidLastSave="{00000000-0000-0000-0000-000000000000}"/>
  <bookViews>
    <workbookView xWindow="-108" yWindow="-108" windowWidth="23256" windowHeight="12456" activeTab="1" xr2:uid="{00000000-000D-0000-FFFF-FFFF00000000}"/>
  </bookViews>
  <sheets>
    <sheet name="Sprint Board" sheetId="1" r:id="rId1"/>
    <sheet name="Burndown" sheetId="4" r:id="rId2"/>
    <sheet name="Daily Standup Guide"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4" l="1"/>
  <c r="C5" i="4"/>
  <c r="C6" i="4"/>
  <c r="C7" i="4"/>
  <c r="C8" i="4"/>
  <c r="C9" i="4"/>
  <c r="C10" i="4"/>
  <c r="C11" i="4"/>
  <c r="C12" i="4"/>
  <c r="C3" i="4"/>
  <c r="B4" i="4"/>
  <c r="B5" i="4"/>
  <c r="B6" i="4"/>
  <c r="B7" i="4"/>
  <c r="B8" i="4"/>
  <c r="B9" i="4"/>
  <c r="B10" i="4"/>
  <c r="B11" i="4"/>
  <c r="B12" i="4"/>
  <c r="B3" i="4"/>
  <c r="I18" i="1" a="1"/>
  <c r="I18" i="1" s="1"/>
  <c r="J18" i="1" s="1"/>
  <c r="I72" i="1" a="1"/>
  <c r="I72" i="1" s="1"/>
  <c r="J72" i="1" s="1"/>
  <c r="I59" i="1" a="1"/>
  <c r="I59" i="1" s="1"/>
  <c r="J59" i="1" s="1"/>
  <c r="I60" i="1" a="1"/>
  <c r="I60" i="1" s="1"/>
  <c r="J60" i="1" s="1"/>
  <c r="I61" i="1" a="1"/>
  <c r="I61" i="1" s="1"/>
  <c r="J61" i="1" s="1"/>
  <c r="I76" i="1" a="1"/>
  <c r="I76" i="1" s="1"/>
  <c r="J76" i="1" s="1"/>
  <c r="I52" i="1" a="1"/>
  <c r="I52" i="1" s="1"/>
  <c r="J52" i="1" s="1"/>
  <c r="I5" i="1" a="1"/>
  <c r="I5" i="1" s="1"/>
  <c r="J5" i="1" s="1"/>
  <c r="K5" i="1" s="1"/>
  <c r="I48" i="1" a="1"/>
  <c r="I48" i="1" s="1"/>
  <c r="J48" i="1" s="1"/>
  <c r="I44" i="1" a="1"/>
  <c r="I44" i="1" s="1"/>
  <c r="J44" i="1" s="1"/>
  <c r="I36" i="1" a="1"/>
  <c r="I36" i="1" s="1"/>
  <c r="J36" i="1" s="1"/>
  <c r="I32" i="1" a="1"/>
  <c r="I32" i="1" s="1"/>
  <c r="J32" i="1" s="1"/>
  <c r="I33" i="1" a="1"/>
  <c r="I33" i="1" s="1"/>
  <c r="J33" i="1" s="1"/>
  <c r="I34" i="1" a="1"/>
  <c r="I34" i="1" s="1"/>
  <c r="J34" i="1" s="1"/>
  <c r="I35" i="1" a="1"/>
  <c r="I35" i="1" s="1"/>
  <c r="J35" i="1" s="1"/>
  <c r="I28" i="1" a="1"/>
  <c r="I28" i="1" s="1"/>
  <c r="J28" i="1" s="1"/>
  <c r="I27" i="1" a="1"/>
  <c r="I27" i="1" s="1"/>
  <c r="J27" i="1" s="1"/>
  <c r="I26" i="1" a="1"/>
  <c r="I26" i="1" s="1"/>
  <c r="J26" i="1" s="1"/>
  <c r="I10" i="1" a="1"/>
  <c r="I10" i="1" s="1"/>
  <c r="J10" i="1" s="1"/>
  <c r="K10" i="1" s="1"/>
  <c r="I9" i="1" a="1"/>
  <c r="I9" i="1" s="1"/>
  <c r="J9" i="1" s="1"/>
  <c r="K9" i="1" s="1"/>
  <c r="I67" i="1" a="1"/>
  <c r="I67" i="1" s="1"/>
  <c r="J67" i="1" s="1"/>
  <c r="I22" i="1" a="1"/>
  <c r="I22" i="1" s="1"/>
  <c r="J22" i="1" s="1"/>
  <c r="I23" i="1" a="1"/>
  <c r="I23" i="1" s="1"/>
  <c r="J23" i="1" s="1"/>
  <c r="I24" i="1" a="1"/>
  <c r="I24" i="1" s="1"/>
  <c r="J24" i="1" s="1"/>
  <c r="I25" i="1" a="1"/>
  <c r="I25" i="1" s="1"/>
  <c r="J25" i="1" s="1"/>
  <c r="I8" i="1" a="1"/>
  <c r="I8" i="1" s="1"/>
  <c r="J8" i="1" s="1"/>
  <c r="K8" i="1" s="1"/>
  <c r="I7" i="1" a="1"/>
  <c r="I7" i="1" s="1"/>
  <c r="J7" i="1" s="1"/>
  <c r="K7" i="1" s="1"/>
  <c r="I6" i="1" a="1"/>
  <c r="I6" i="1" s="1"/>
  <c r="J6" i="1" s="1"/>
  <c r="K6" i="1" s="1"/>
  <c r="I21" i="1" a="1"/>
  <c r="I21" i="1" s="1"/>
  <c r="J21" i="1" s="1"/>
  <c r="I31" i="1" a="1"/>
  <c r="I31" i="1" s="1"/>
  <c r="J31" i="1" s="1"/>
  <c r="I17" i="1" a="1"/>
  <c r="I17" i="1" s="1"/>
  <c r="J17" i="1" s="1"/>
  <c r="I16" i="1" a="1"/>
  <c r="I16" i="1" s="1"/>
  <c r="J16" i="1" s="1"/>
  <c r="I2" i="1" a="1"/>
  <c r="I2" i="1" s="1"/>
  <c r="J2" i="1" s="1"/>
  <c r="K2" i="1" s="1"/>
  <c r="I12" i="1" a="1"/>
  <c r="I12" i="1" s="1"/>
  <c r="J12" i="1" s="1"/>
  <c r="I13" i="1" a="1"/>
  <c r="I13" i="1" s="1"/>
  <c r="J13" i="1" s="1"/>
  <c r="I15" i="1" a="1"/>
  <c r="I15" i="1" s="1"/>
  <c r="J15" i="1" s="1"/>
  <c r="I14" i="1" a="1"/>
  <c r="I14" i="1" s="1"/>
  <c r="J14" i="1" s="1"/>
  <c r="I3" i="1" a="1"/>
  <c r="I3" i="1" s="1"/>
  <c r="J3" i="1" s="1"/>
  <c r="K3" i="1" s="1"/>
  <c r="K1" i="1" s="1"/>
  <c r="I4" i="1" a="1"/>
  <c r="I4" i="1" s="1"/>
  <c r="J4" i="1" s="1"/>
  <c r="K4" i="1" s="1"/>
  <c r="I11" i="1" a="1"/>
  <c r="I11" i="1" s="1"/>
  <c r="J11" i="1" s="1"/>
  <c r="K11" i="1" s="1"/>
  <c r="I20" i="1" a="1"/>
  <c r="I20" i="1" s="1"/>
  <c r="J20" i="1" s="1"/>
  <c r="I29" i="1" a="1"/>
  <c r="I29" i="1" s="1"/>
  <c r="J29" i="1" s="1"/>
  <c r="I30" i="1" a="1"/>
  <c r="I30" i="1" s="1"/>
  <c r="J30" i="1" s="1"/>
  <c r="I56" i="1" a="1"/>
  <c r="I56" i="1" s="1"/>
  <c r="J56" i="1" s="1"/>
  <c r="I58" i="1" a="1"/>
  <c r="I58" i="1" s="1"/>
  <c r="J58" i="1" s="1"/>
  <c r="I57" i="1" a="1"/>
  <c r="I57" i="1" s="1"/>
  <c r="J57" i="1" s="1"/>
  <c r="I62" i="1" a="1"/>
  <c r="I62" i="1" s="1"/>
  <c r="J62" i="1" s="1"/>
  <c r="I63" i="1" a="1"/>
  <c r="I63" i="1" s="1"/>
  <c r="J63" i="1" s="1"/>
  <c r="I64" i="1" a="1"/>
  <c r="I64" i="1" s="1"/>
  <c r="J64" i="1" s="1"/>
  <c r="I65" i="1" a="1"/>
  <c r="I65" i="1" s="1"/>
  <c r="J65" i="1" s="1"/>
  <c r="I73" i="1" a="1"/>
  <c r="I73" i="1" s="1"/>
  <c r="J73" i="1" s="1"/>
  <c r="I74" i="1" a="1"/>
  <c r="I74" i="1" s="1"/>
  <c r="J74" i="1" s="1"/>
  <c r="I75" i="1" a="1"/>
  <c r="I75" i="1" s="1"/>
  <c r="J75" i="1" s="1"/>
  <c r="I66" i="1" a="1"/>
  <c r="I66" i="1" s="1"/>
  <c r="J66" i="1" s="1"/>
  <c r="I68" i="1" a="1"/>
  <c r="I68" i="1" s="1"/>
  <c r="J68" i="1" s="1"/>
  <c r="I69" i="1" a="1"/>
  <c r="I69" i="1" s="1"/>
  <c r="J69" i="1" s="1"/>
  <c r="I70" i="1" a="1"/>
  <c r="I70" i="1" s="1"/>
  <c r="J70" i="1" s="1"/>
  <c r="I71" i="1" a="1"/>
  <c r="I71" i="1" s="1"/>
  <c r="J71" i="1" s="1"/>
  <c r="I77" i="1" a="1"/>
  <c r="I77" i="1" s="1"/>
  <c r="J77" i="1" s="1"/>
  <c r="I78" i="1" a="1"/>
  <c r="I78" i="1" s="1"/>
  <c r="J78" i="1" s="1"/>
  <c r="I79" i="1" a="1"/>
  <c r="I79" i="1" s="1"/>
  <c r="J79" i="1" s="1"/>
  <c r="I80" i="1" a="1"/>
  <c r="I80" i="1" s="1"/>
  <c r="J80" i="1" s="1"/>
  <c r="I81" i="1" a="1"/>
  <c r="I81" i="1" s="1"/>
  <c r="J81" i="1" s="1"/>
  <c r="I19" i="1" a="1"/>
  <c r="I19" i="1" s="1"/>
  <c r="J19" i="1" s="1"/>
  <c r="J1"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<sst xmlns="http://schemas.openxmlformats.org/spreadsheetml/2006/main" count="555" uniqueCount="123">
  <si>
    <t>Epic</t>
  </si>
  <si>
    <t>User Story ID</t>
  </si>
  <si>
    <t>User Story (Short)</t>
  </si>
  <si>
    <t>Task</t>
  </si>
  <si>
    <t>Assigned To</t>
  </si>
  <si>
    <t>Status</t>
  </si>
  <si>
    <t>Blocker / Notes</t>
  </si>
  <si>
    <t>Auth</t>
  </si>
  <si>
    <t>Splash screen</t>
  </si>
  <si>
    <t>No</t>
  </si>
  <si>
    <t>Alekhya</t>
  </si>
  <si>
    <t>Daily Standup Checklist</t>
  </si>
  <si>
    <t>Is any task Blocked?</t>
  </si>
  <si>
    <t>Is any task In Progress for &gt;2 days?</t>
  </si>
  <si>
    <t>Is Sprint Goal still safe?</t>
  </si>
  <si>
    <t>Any dependency issues?</t>
  </si>
  <si>
    <t>Any help needed today?</t>
  </si>
  <si>
    <t>ToDo</t>
  </si>
  <si>
    <t>DoD Met?</t>
  </si>
  <si>
    <t>T-Shirt Sizing</t>
  </si>
  <si>
    <t>Landing Screen</t>
  </si>
  <si>
    <t>Story Point</t>
  </si>
  <si>
    <t>Show inline errors</t>
  </si>
  <si>
    <t>S</t>
  </si>
  <si>
    <t>1. Implement 3-second timer
2. Loading the required app resources within that span
3. Navigate to Landing screen after timer</t>
  </si>
  <si>
    <t>M</t>
  </si>
  <si>
    <t>XL</t>
  </si>
  <si>
    <t>Sayan</t>
  </si>
  <si>
    <t>Anirban</t>
  </si>
  <si>
    <t>Create reusable fonts library</t>
  </si>
  <si>
    <t>L</t>
  </si>
  <si>
    <t>Create reusable color palate</t>
  </si>
  <si>
    <t>XS</t>
  </si>
  <si>
    <t>Scope</t>
  </si>
  <si>
    <t>Setup</t>
  </si>
  <si>
    <r>
      <rPr>
        <sz val="11"/>
        <color theme="1"/>
        <rFont val="Calibri"/>
        <family val="2"/>
        <scheme val="minor"/>
      </rPr>
      <t xml:space="preserve">Setup Codebase with proper </t>
    </r>
    <r>
      <rPr>
        <b/>
        <sz val="11"/>
        <color theme="1"/>
        <rFont val="Calibri"/>
        <family val="2"/>
        <scheme val="minor"/>
      </rPr>
      <t>.gitignore</t>
    </r>
    <r>
      <rPr>
        <sz val="11"/>
        <color theme="1"/>
        <rFont val="Calibri"/>
        <family val="2"/>
        <scheme val="minor"/>
      </rPr>
      <t xml:space="preserve">, </t>
    </r>
    <r>
      <rPr>
        <b/>
        <sz val="11"/>
        <color theme="1"/>
        <rFont val="Calibri"/>
        <family val="2"/>
        <scheme val="minor"/>
      </rPr>
      <t>.gitattributes</t>
    </r>
    <r>
      <rPr>
        <sz val="11"/>
        <color theme="1"/>
        <rFont val="Calibri"/>
        <family val="2"/>
        <scheme val="minor"/>
      </rPr>
      <t>, dependency packages</t>
    </r>
  </si>
  <si>
    <t>Task #</t>
  </si>
  <si>
    <t>Test</t>
  </si>
  <si>
    <t>Splash screen renders immediately on app launch</t>
  </si>
  <si>
    <t>Micro2Move logo + app name is visible on splash screen</t>
  </si>
  <si>
    <t>Tagline text is displayed on splash screen: "Making Sydney E-bike Friendly"</t>
  </si>
  <si>
    <r>
      <t xml:space="preserve">Splash screen remains visible for approximately </t>
    </r>
    <r>
      <rPr>
        <b/>
        <sz val="11"/>
        <color theme="1"/>
        <rFont val="Calibri"/>
        <family val="2"/>
        <scheme val="minor"/>
      </rPr>
      <t>3 seconds</t>
    </r>
  </si>
  <si>
    <t>Brand values text is displayed on splash screen: "Affordable Reliable Safe"</t>
  </si>
  <si>
    <t>Atish</t>
  </si>
  <si>
    <t>Frontend Dev</t>
  </si>
  <si>
    <r>
      <rPr>
        <b/>
        <sz val="11"/>
        <color theme="1"/>
        <rFont val="Calibri"/>
        <family val="2"/>
        <scheme val="minor"/>
      </rPr>
      <t>Rent a Bike</t>
    </r>
    <r>
      <rPr>
        <sz val="11"/>
        <color theme="1"/>
        <rFont val="Calibri"/>
        <family val="2"/>
        <scheme val="minor"/>
      </rPr>
      <t xml:space="preserve"> button is visible on Landing screen</t>
    </r>
  </si>
  <si>
    <r>
      <rPr>
        <b/>
        <sz val="11"/>
        <color theme="1"/>
        <rFont val="Calibri"/>
        <family val="2"/>
        <scheme val="minor"/>
      </rPr>
      <t>List a Bike</t>
    </r>
    <r>
      <rPr>
        <sz val="11"/>
        <color theme="1"/>
        <rFont val="Calibri"/>
        <family val="2"/>
        <scheme val="minor"/>
      </rPr>
      <t xml:space="preserve"> button is visible on Landing screen</t>
    </r>
  </si>
  <si>
    <r>
      <t xml:space="preserve">1. Create landing screen layout
2. Add Micro2Move logo + text: "Shining the light on micro-mobility"
3. Add </t>
    </r>
    <r>
      <rPr>
        <b/>
        <sz val="11"/>
        <color theme="1"/>
        <rFont val="Calibri"/>
        <family val="2"/>
        <scheme val="minor"/>
      </rPr>
      <t>Rent a Bike</t>
    </r>
    <r>
      <rPr>
        <sz val="11"/>
        <color theme="1"/>
        <rFont val="Calibri"/>
        <family val="2"/>
        <scheme val="minor"/>
      </rPr>
      <t xml:space="preserve"> primary button
4. Add</t>
    </r>
    <r>
      <rPr>
        <b/>
        <sz val="11"/>
        <color theme="1"/>
        <rFont val="Calibri"/>
        <family val="2"/>
        <scheme val="minor"/>
      </rPr>
      <t xml:space="preserve"> List a Bike</t>
    </r>
    <r>
      <rPr>
        <sz val="11"/>
        <color theme="1"/>
        <rFont val="Calibri"/>
        <family val="2"/>
        <scheme val="minor"/>
      </rPr>
      <t xml:space="preserve"> primary button
5. Add </t>
    </r>
    <r>
      <rPr>
        <b/>
        <u/>
        <sz val="11"/>
        <color theme="1"/>
        <rFont val="Calibri"/>
        <family val="2"/>
        <scheme val="minor"/>
      </rPr>
      <t>Explore</t>
    </r>
    <r>
      <rPr>
        <sz val="11"/>
        <color theme="1"/>
        <rFont val="Calibri"/>
        <family val="2"/>
        <scheme val="minor"/>
      </rPr>
      <t xml:space="preserve"> hyperlink</t>
    </r>
  </si>
  <si>
    <t>Backend Dev</t>
  </si>
  <si>
    <r>
      <t xml:space="preserve">Create </t>
    </r>
    <r>
      <rPr>
        <b/>
        <sz val="11"/>
        <color theme="1"/>
        <rFont val="Calibri"/>
        <family val="2"/>
        <scheme val="minor"/>
      </rPr>
      <t>POST/signin</t>
    </r>
    <r>
      <rPr>
        <sz val="11"/>
        <color theme="1"/>
        <rFont val="Calibri"/>
        <family val="2"/>
        <scheme val="minor"/>
      </rPr>
      <t xml:space="preserve">, </t>
    </r>
    <r>
      <rPr>
        <b/>
        <sz val="11"/>
        <color theme="1"/>
        <rFont val="Calibri"/>
        <family val="2"/>
        <scheme val="minor"/>
      </rPr>
      <t>POST/signup</t>
    </r>
    <r>
      <rPr>
        <sz val="11"/>
        <color theme="1"/>
        <rFont val="Calibri"/>
        <family val="2"/>
        <scheme val="minor"/>
      </rPr>
      <t xml:space="preserve">, </t>
    </r>
    <r>
      <rPr>
        <b/>
        <sz val="11"/>
        <color theme="1"/>
        <rFont val="Calibri"/>
        <family val="2"/>
        <scheme val="minor"/>
      </rPr>
      <t>GET/user</t>
    </r>
    <r>
      <rPr>
        <sz val="11"/>
        <color theme="1"/>
        <rFont val="Calibri"/>
        <family val="2"/>
        <scheme val="minor"/>
      </rPr>
      <t xml:space="preserve">, </t>
    </r>
    <r>
      <rPr>
        <b/>
        <sz val="11"/>
        <color theme="1"/>
        <rFont val="Calibri"/>
        <family val="2"/>
        <scheme val="minor"/>
      </rPr>
      <t>POST/logout</t>
    </r>
    <r>
      <rPr>
        <sz val="11"/>
        <color theme="1"/>
        <rFont val="Calibri"/>
        <family val="2"/>
        <scheme val="minor"/>
      </rPr>
      <t xml:space="preserve"> with FastAPI</t>
    </r>
  </si>
  <si>
    <r>
      <t xml:space="preserve">1. Implement </t>
    </r>
    <r>
      <rPr>
        <b/>
        <sz val="11"/>
        <color theme="1"/>
        <rFont val="Calibri"/>
        <family val="2"/>
        <scheme val="minor"/>
      </rPr>
      <t xml:space="preserve">JWT </t>
    </r>
    <r>
      <rPr>
        <sz val="11"/>
        <color theme="1"/>
        <rFont val="Calibri"/>
        <family val="2"/>
        <scheme val="minor"/>
      </rPr>
      <t>token validation (NO EXPIRY)
2. Store token in database with user_id</t>
    </r>
  </si>
  <si>
    <t>Connect database with FastAPI using SQLAlchemy</t>
  </si>
  <si>
    <t>Landing screen renders</t>
  </si>
  <si>
    <t>Sign Up</t>
  </si>
  <si>
    <t>1. Submit form data
2. Submit ID image
3. Submit selfie image</t>
  </si>
  <si>
    <r>
      <t xml:space="preserve">Create reusable UI elements package: </t>
    </r>
    <r>
      <rPr>
        <b/>
        <sz val="11"/>
        <color theme="1"/>
        <rFont val="Calibri"/>
        <family val="2"/>
        <scheme val="minor"/>
      </rPr>
      <t>Label</t>
    </r>
    <r>
      <rPr>
        <sz val="11"/>
        <color theme="1"/>
        <rFont val="Calibri"/>
        <family val="2"/>
        <scheme val="minor"/>
      </rPr>
      <t xml:space="preserve">, </t>
    </r>
    <r>
      <rPr>
        <b/>
        <sz val="11"/>
        <color theme="1"/>
        <rFont val="Calibri"/>
        <family val="2"/>
        <scheme val="minor"/>
      </rPr>
      <t>TextField</t>
    </r>
    <r>
      <rPr>
        <sz val="11"/>
        <color theme="1"/>
        <rFont val="Calibri"/>
        <family val="2"/>
        <scheme val="minor"/>
      </rPr>
      <t xml:space="preserve">, </t>
    </r>
    <r>
      <rPr>
        <b/>
        <sz val="11"/>
        <color theme="1"/>
        <rFont val="Calibri"/>
        <family val="2"/>
        <scheme val="minor"/>
      </rPr>
      <t>Button</t>
    </r>
    <r>
      <rPr>
        <sz val="11"/>
        <color theme="1"/>
        <rFont val="Calibri"/>
        <family val="2"/>
        <scheme val="minor"/>
      </rPr>
      <t xml:space="preserve">, </t>
    </r>
    <r>
      <rPr>
        <b/>
        <sz val="11"/>
        <color theme="1"/>
        <rFont val="Calibri"/>
        <family val="2"/>
        <scheme val="minor"/>
      </rPr>
      <t>BottomNavTab</t>
    </r>
    <r>
      <rPr>
        <sz val="11"/>
        <color theme="1"/>
        <rFont val="Calibri"/>
        <family val="2"/>
        <scheme val="minor"/>
      </rPr>
      <t xml:space="preserve"> (My Rides, My Bikes, Explore, Profile -</t>
    </r>
    <r>
      <rPr>
        <b/>
        <sz val="11"/>
        <color theme="1"/>
        <rFont val="Calibri"/>
        <family val="2"/>
        <scheme val="minor"/>
      </rPr>
      <t xml:space="preserve"> Layout only</t>
    </r>
    <r>
      <rPr>
        <sz val="11"/>
        <color theme="1"/>
        <rFont val="Calibri"/>
        <family val="2"/>
        <scheme val="minor"/>
      </rPr>
      <t>)</t>
    </r>
  </si>
  <si>
    <r>
      <t xml:space="preserve">store entry intent (Rent/List) in </t>
    </r>
    <r>
      <rPr>
        <b/>
        <sz val="11"/>
        <color theme="1"/>
        <rFont val="Calibri"/>
        <family val="2"/>
        <scheme val="minor"/>
      </rPr>
      <t>Context</t>
    </r>
    <r>
      <rPr>
        <sz val="11"/>
        <color theme="1"/>
        <rFont val="Calibri"/>
        <family val="2"/>
        <scheme val="minor"/>
      </rPr>
      <t xml:space="preserve"> named </t>
    </r>
    <r>
      <rPr>
        <b/>
        <sz val="11"/>
        <color theme="1"/>
        <rFont val="Calibri"/>
        <family val="2"/>
        <scheme val="minor"/>
      </rPr>
      <t xml:space="preserve">entryIntent </t>
    </r>
    <r>
      <rPr>
        <sz val="11"/>
        <color theme="1"/>
        <rFont val="Calibri"/>
        <family val="2"/>
        <scheme val="minor"/>
      </rPr>
      <t>and expose globally</t>
    </r>
  </si>
  <si>
    <t>1. Create splash screen layout in react native
2. Add logo app name, tagline text
3. Add brand values text</t>
  </si>
  <si>
    <r>
      <t xml:space="preserve">Add entryResolve logic for separating renter, lister(owner) based on </t>
    </r>
    <r>
      <rPr>
        <b/>
        <sz val="11"/>
        <color theme="1"/>
        <rFont val="Calibri"/>
        <family val="2"/>
        <scheme val="minor"/>
      </rPr>
      <t>entryIntent</t>
    </r>
    <r>
      <rPr>
        <sz val="11"/>
        <color theme="1"/>
        <rFont val="Calibri"/>
        <family val="2"/>
        <scheme val="minor"/>
      </rPr>
      <t xml:space="preserve"> context</t>
    </r>
  </si>
  <si>
    <t>Sign In</t>
  </si>
  <si>
    <t>Manage local form state (email, password)</t>
  </si>
  <si>
    <t>1. Handle successful login response
2. Handle failed login response (error message)</t>
  </si>
  <si>
    <t>1. Prevent multiple submissions
2. Implement loading state while login is underway</t>
  </si>
  <si>
    <r>
      <t xml:space="preserve">1. Handle </t>
    </r>
    <r>
      <rPr>
        <b/>
        <sz val="11"/>
        <color theme="1"/>
        <rFont val="Calibri"/>
        <family val="2"/>
        <scheme val="minor"/>
      </rPr>
      <t>Sign In</t>
    </r>
    <r>
      <rPr>
        <sz val="11"/>
        <color theme="1"/>
        <rFont val="Calibri"/>
        <family val="2"/>
        <scheme val="minor"/>
      </rPr>
      <t xml:space="preserve"> button press with onPress
2. Call Signin() method</t>
    </r>
  </si>
  <si>
    <t>Add testIDs to inputs and buttons:
1. Email Input- testID = "emailTextInput"
2. Passwordl Input- testID = "passwordTextInput"
1. Button- testID = "SignInButton"</t>
  </si>
  <si>
    <r>
      <t xml:space="preserve">1. Create </t>
    </r>
    <r>
      <rPr>
        <b/>
        <sz val="11"/>
        <color theme="1"/>
        <rFont val="Calibri"/>
        <family val="2"/>
        <scheme val="minor"/>
      </rPr>
      <t>Sign In</t>
    </r>
    <r>
      <rPr>
        <sz val="11"/>
        <color theme="1"/>
        <rFont val="Calibri"/>
        <family val="2"/>
        <scheme val="minor"/>
      </rPr>
      <t xml:space="preserve"> screen layout
2. Add </t>
    </r>
    <r>
      <rPr>
        <b/>
        <sz val="11"/>
        <color theme="1"/>
        <rFont val="Calibri"/>
        <family val="2"/>
        <scheme val="minor"/>
      </rPr>
      <t>Email</t>
    </r>
    <r>
      <rPr>
        <sz val="11"/>
        <color theme="1"/>
        <rFont val="Calibri"/>
        <family val="2"/>
        <scheme val="minor"/>
      </rPr>
      <t xml:space="preserve"> input field
3. Add </t>
    </r>
    <r>
      <rPr>
        <b/>
        <sz val="11"/>
        <color theme="1"/>
        <rFont val="Calibri"/>
        <family val="2"/>
        <scheme val="minor"/>
      </rPr>
      <t>Password</t>
    </r>
    <r>
      <rPr>
        <sz val="11"/>
        <color theme="1"/>
        <rFont val="Calibri"/>
        <family val="2"/>
        <scheme val="minor"/>
      </rPr>
      <t xml:space="preserve"> input field
4. Add </t>
    </r>
    <r>
      <rPr>
        <b/>
        <sz val="11"/>
        <color theme="1"/>
        <rFont val="Calibri"/>
        <family val="2"/>
        <scheme val="minor"/>
      </rPr>
      <t>Continue</t>
    </r>
    <r>
      <rPr>
        <sz val="11"/>
        <color theme="1"/>
        <rFont val="Calibri"/>
        <family val="2"/>
        <scheme val="minor"/>
      </rPr>
      <t xml:space="preserve"> button
5. Add </t>
    </r>
    <r>
      <rPr>
        <b/>
        <sz val="11"/>
        <color theme="1"/>
        <rFont val="Calibri"/>
        <family val="2"/>
        <scheme val="minor"/>
      </rPr>
      <t>SignUp</t>
    </r>
    <r>
      <rPr>
        <sz val="11"/>
        <color theme="1"/>
        <rFont val="Calibri"/>
        <family val="2"/>
        <scheme val="minor"/>
      </rPr>
      <t xml:space="preserve"> hyperlink</t>
    </r>
  </si>
  <si>
    <t>On successful sign in, update authStatus = AUTHENTICATED</t>
  </si>
  <si>
    <r>
      <t xml:space="preserve">Reset local form state on unmount (after navigating away anywhere from Sign in):
1. Email: </t>
    </r>
    <r>
      <rPr>
        <b/>
        <sz val="11"/>
        <color theme="1"/>
        <rFont val="Consolas"/>
        <family val="3"/>
      </rPr>
      <t>const [email, setEmail] = useState('');</t>
    </r>
    <r>
      <rPr>
        <sz val="11"/>
        <color theme="1"/>
        <rFont val="Calibri"/>
        <family val="2"/>
        <scheme val="minor"/>
      </rPr>
      <t xml:space="preserve">
2. Password: </t>
    </r>
    <r>
      <rPr>
        <b/>
        <sz val="11"/>
        <color theme="1"/>
        <rFont val="Consolas"/>
        <family val="3"/>
      </rPr>
      <t>const [password, setPassword] = useState('');</t>
    </r>
  </si>
  <si>
    <t>Post-landing Navigation</t>
  </si>
  <si>
    <r>
      <t xml:space="preserve">Pressing </t>
    </r>
    <r>
      <rPr>
        <b/>
        <sz val="11"/>
        <color theme="1"/>
        <rFont val="Calibri"/>
        <family val="2"/>
        <scheme val="minor"/>
      </rPr>
      <t xml:space="preserve">Rent a Bike </t>
    </r>
    <r>
      <rPr>
        <sz val="11"/>
        <color theme="1"/>
        <rFont val="Calibri"/>
        <family val="2"/>
        <scheme val="minor"/>
      </rPr>
      <t>button calls a mockFunction()</t>
    </r>
  </si>
  <si>
    <r>
      <t xml:space="preserve">Pressing </t>
    </r>
    <r>
      <rPr>
        <b/>
        <sz val="11"/>
        <color theme="1"/>
        <rFont val="Calibri"/>
        <family val="2"/>
        <scheme val="minor"/>
      </rPr>
      <t xml:space="preserve">List a Bike </t>
    </r>
    <r>
      <rPr>
        <sz val="11"/>
        <color theme="1"/>
        <rFont val="Calibri"/>
        <family val="2"/>
        <scheme val="minor"/>
      </rPr>
      <t>button calls a mockFunction()</t>
    </r>
  </si>
  <si>
    <r>
      <t xml:space="preserve">Pressing </t>
    </r>
    <r>
      <rPr>
        <u/>
        <sz val="11"/>
        <color theme="1"/>
        <rFont val="Calibri"/>
        <family val="2"/>
        <scheme val="minor"/>
      </rPr>
      <t>Explore</t>
    </r>
    <r>
      <rPr>
        <b/>
        <sz val="11"/>
        <color theme="1"/>
        <rFont val="Calibri"/>
        <family val="2"/>
        <scheme val="minor"/>
      </rPr>
      <t xml:space="preserve"> </t>
    </r>
    <r>
      <rPr>
        <sz val="11"/>
        <color theme="1"/>
        <rFont val="Calibri"/>
        <family val="2"/>
        <scheme val="minor"/>
      </rPr>
      <t>hyperlink calls a mockFunction()</t>
    </r>
  </si>
  <si>
    <r>
      <t xml:space="preserve">Pressing </t>
    </r>
    <r>
      <rPr>
        <b/>
        <sz val="11"/>
        <color theme="1"/>
        <rFont val="Calibri"/>
        <family val="2"/>
        <scheme val="minor"/>
      </rPr>
      <t>Sign In</t>
    </r>
    <r>
      <rPr>
        <sz val="11"/>
        <color theme="1"/>
        <rFont val="Calibri"/>
        <family val="2"/>
        <scheme val="minor"/>
      </rPr>
      <t xml:space="preserve"> button calls a mockFunction()</t>
    </r>
  </si>
  <si>
    <r>
      <t xml:space="preserve">Login attempt with invalid credentials show error message:
1. For wrong email: </t>
    </r>
    <r>
      <rPr>
        <sz val="11"/>
        <color rgb="FFFF0000"/>
        <rFont val="Calibri"/>
        <family val="2"/>
        <scheme val="minor"/>
      </rPr>
      <t xml:space="preserve">Email does not exist
</t>
    </r>
    <r>
      <rPr>
        <sz val="11"/>
        <rFont val="Calibri"/>
        <family val="2"/>
        <scheme val="minor"/>
      </rPr>
      <t>2.</t>
    </r>
    <r>
      <rPr>
        <sz val="11"/>
        <color rgb="FFFF0000"/>
        <rFont val="Calibri"/>
        <family val="2"/>
        <scheme val="minor"/>
      </rPr>
      <t xml:space="preserve"> </t>
    </r>
    <r>
      <rPr>
        <sz val="11"/>
        <rFont val="Calibri"/>
        <family val="2"/>
        <scheme val="minor"/>
      </rPr>
      <t>For wrong password:</t>
    </r>
    <r>
      <rPr>
        <sz val="11"/>
        <color rgb="FFFF0000"/>
        <rFont val="Calibri"/>
        <family val="2"/>
        <scheme val="minor"/>
      </rPr>
      <t xml:space="preserve"> Incorrect password, Try again.</t>
    </r>
  </si>
  <si>
    <r>
      <t xml:space="preserve">Navigates to </t>
    </r>
    <r>
      <rPr>
        <b/>
        <sz val="11"/>
        <color theme="1"/>
        <rFont val="Calibri"/>
        <family val="2"/>
        <scheme val="minor"/>
      </rPr>
      <t>Landing</t>
    </r>
    <r>
      <rPr>
        <sz val="11"/>
        <color theme="1"/>
        <rFont val="Calibri"/>
        <family val="2"/>
        <scheme val="minor"/>
      </rPr>
      <t xml:space="preserve"> screen after splash timeout (MANUAL/e2e TESTING)</t>
    </r>
  </si>
  <si>
    <r>
      <t xml:space="preserve">Pressing </t>
    </r>
    <r>
      <rPr>
        <u/>
        <sz val="11"/>
        <color theme="1"/>
        <rFont val="Calibri"/>
        <family val="2"/>
        <scheme val="minor"/>
      </rPr>
      <t>Sign Up</t>
    </r>
    <r>
      <rPr>
        <sz val="11"/>
        <color theme="1"/>
        <rFont val="Calibri"/>
        <family val="2"/>
        <scheme val="minor"/>
      </rPr>
      <t xml:space="preserve"> hyperlink:
1. Calls a mockFunction()
2. navigates to Sign Up screen layout (MANUAL/e2e TESTING)</t>
    </r>
  </si>
  <si>
    <r>
      <t xml:space="preserve">Given user's authStatus = UNAUTHENTICATED and entryIntent = LIST/RENT/NULL
1. Navigate to </t>
    </r>
    <r>
      <rPr>
        <b/>
        <sz val="11"/>
        <color theme="1"/>
        <rFont val="Calibri"/>
        <family val="2"/>
        <scheme val="minor"/>
      </rPr>
      <t xml:space="preserve">SignIn </t>
    </r>
    <r>
      <rPr>
        <sz val="11"/>
        <color theme="1"/>
        <rFont val="Calibri"/>
        <family val="2"/>
        <scheme val="minor"/>
      </rPr>
      <t>screen</t>
    </r>
  </si>
  <si>
    <r>
      <t xml:space="preserve">Given user's authStatus = UNAUTHENTICATED, pressing Rent a Bike or List a Bike button navigates to </t>
    </r>
    <r>
      <rPr>
        <b/>
        <sz val="11"/>
        <color theme="1"/>
        <rFont val="Calibri"/>
        <family val="2"/>
        <scheme val="minor"/>
      </rPr>
      <t>SignIn</t>
    </r>
    <r>
      <rPr>
        <sz val="11"/>
        <color theme="1"/>
        <rFont val="Calibri"/>
        <family val="2"/>
        <scheme val="minor"/>
      </rPr>
      <t xml:space="preserve"> page</t>
    </r>
  </si>
  <si>
    <r>
      <t xml:space="preserve">Pressing </t>
    </r>
    <r>
      <rPr>
        <u/>
        <sz val="11"/>
        <color theme="1"/>
        <rFont val="Calibri"/>
        <family val="2"/>
        <scheme val="minor"/>
      </rPr>
      <t>Explore</t>
    </r>
    <r>
      <rPr>
        <sz val="11"/>
        <color theme="1"/>
        <rFont val="Calibri"/>
        <family val="2"/>
        <scheme val="minor"/>
      </rPr>
      <t xml:space="preserve"> hyperlink
1. Navigates to </t>
    </r>
    <r>
      <rPr>
        <b/>
        <sz val="11"/>
        <color theme="1"/>
        <rFont val="Calibri"/>
        <family val="2"/>
        <scheme val="minor"/>
      </rPr>
      <t>ExploreMaps</t>
    </r>
    <r>
      <rPr>
        <sz val="11"/>
        <color theme="1"/>
        <rFont val="Calibri"/>
        <family val="2"/>
        <scheme val="minor"/>
      </rPr>
      <t xml:space="preserve"> screen layout (MANUAL/e2e TESTING)
2. Activates </t>
    </r>
    <r>
      <rPr>
        <b/>
        <sz val="11"/>
        <color theme="1"/>
        <rFont val="Calibri"/>
        <family val="2"/>
        <scheme val="minor"/>
      </rPr>
      <t>Explore</t>
    </r>
    <r>
      <rPr>
        <sz val="11"/>
        <color theme="1"/>
        <rFont val="Calibri"/>
        <family val="2"/>
        <scheme val="minor"/>
      </rPr>
      <t xml:space="preserve"> bottomNavTab (MANUAL/e2e TESTING)</t>
    </r>
  </si>
  <si>
    <t>Explore</t>
  </si>
  <si>
    <r>
      <t xml:space="preserve">Create navigation stack with </t>
    </r>
    <r>
      <rPr>
        <b/>
        <sz val="11"/>
        <color theme="1"/>
        <rFont val="Calibri"/>
        <family val="2"/>
        <scheme val="minor"/>
      </rPr>
      <t>expo-router</t>
    </r>
    <r>
      <rPr>
        <sz val="11"/>
        <color theme="1"/>
        <rFont val="Calibri"/>
        <family val="2"/>
        <scheme val="minor"/>
      </rPr>
      <t xml:space="preserve"> (file-based routing):
app/
 |-- _layout.tsx
 |-- splash.tsx
 |-- landing.tsx
 |-- (auth)/
 │   |-- signin.tsx
 │   |-- signup.tsx
 |-- (tabs)/
 │   |-- _layout.tsx
 │
 │   |-- explore.tsx
 │
 │   |-- my-rides/
 │   │   |-- _layout.tsx
 │   │   |-- index.tsx
 │   │   └─ filter.tsx
 │
 │   |-- my-bikes/
 │   │   |-- _layout.tsx
 │   │   |-- index.tsx
 │   │   └─ list.tsx
 │
 │   |-- profile.tsx</t>
    </r>
  </si>
  <si>
    <r>
      <t xml:space="preserve">Given user's authStatus = AUTHENTICATED or UNAUTHENTICATED:
1. Navigate to </t>
    </r>
    <r>
      <rPr>
        <b/>
        <sz val="11"/>
        <rFont val="Calibri"/>
        <family val="2"/>
        <scheme val="minor"/>
      </rPr>
      <t>ExploreMaps</t>
    </r>
    <r>
      <rPr>
        <sz val="11"/>
        <rFont val="Calibri"/>
        <family val="2"/>
        <scheme val="minor"/>
      </rPr>
      <t xml:space="preserve"> screen layout
2. Activate </t>
    </r>
    <r>
      <rPr>
        <b/>
        <sz val="11"/>
        <rFont val="Calibri"/>
        <family val="2"/>
        <scheme val="minor"/>
      </rPr>
      <t>Explore</t>
    </r>
    <r>
      <rPr>
        <sz val="11"/>
        <rFont val="Calibri"/>
        <family val="2"/>
        <scheme val="minor"/>
      </rPr>
      <t xml:space="preserve"> bottomNavTab (guest access)</t>
    </r>
  </si>
  <si>
    <r>
      <t xml:space="preserve">Given user's authStatus = AUTHENTICATED, tapping on </t>
    </r>
    <r>
      <rPr>
        <b/>
        <sz val="11"/>
        <color theme="1"/>
        <rFont val="Calibri"/>
        <family val="2"/>
        <scheme val="minor"/>
      </rPr>
      <t>My Rides</t>
    </r>
    <r>
      <rPr>
        <sz val="11"/>
        <color theme="1"/>
        <rFont val="Calibri"/>
        <family val="2"/>
        <scheme val="minor"/>
      </rPr>
      <t xml:space="preserve">, </t>
    </r>
    <r>
      <rPr>
        <b/>
        <sz val="11"/>
        <color theme="1"/>
        <rFont val="Calibri"/>
        <family val="2"/>
        <scheme val="minor"/>
      </rPr>
      <t>My Bikes</t>
    </r>
    <r>
      <rPr>
        <sz val="11"/>
        <color theme="1"/>
        <rFont val="Calibri"/>
        <family val="2"/>
        <scheme val="minor"/>
      </rPr>
      <t xml:space="preserve">, </t>
    </r>
    <r>
      <rPr>
        <b/>
        <sz val="11"/>
        <color theme="1"/>
        <rFont val="Calibri"/>
        <family val="2"/>
        <scheme val="minor"/>
      </rPr>
      <t xml:space="preserve">Profile </t>
    </r>
    <r>
      <rPr>
        <sz val="11"/>
        <color theme="1"/>
        <rFont val="Calibri"/>
        <family val="2"/>
        <scheme val="minor"/>
      </rPr>
      <t>tabs should navigate the user to the respective screens</t>
    </r>
  </si>
  <si>
    <r>
      <t xml:space="preserve">Given user's authStatus = UNAUTHENTICATED, if user presses any other tab
1. Block navigation for </t>
    </r>
    <r>
      <rPr>
        <b/>
        <sz val="11"/>
        <color theme="1"/>
        <rFont val="Calibri"/>
        <family val="2"/>
        <scheme val="minor"/>
      </rPr>
      <t>My Rides</t>
    </r>
    <r>
      <rPr>
        <sz val="11"/>
        <color theme="1"/>
        <rFont val="Calibri"/>
        <family val="2"/>
        <scheme val="minor"/>
      </rPr>
      <t xml:space="preserve">, </t>
    </r>
    <r>
      <rPr>
        <b/>
        <sz val="11"/>
        <color theme="1"/>
        <rFont val="Calibri"/>
        <family val="2"/>
        <scheme val="minor"/>
      </rPr>
      <t>My Bikes</t>
    </r>
    <r>
      <rPr>
        <sz val="11"/>
        <color theme="1"/>
        <rFont val="Calibri"/>
        <family val="2"/>
        <scheme val="minor"/>
      </rPr>
      <t xml:space="preserve">, </t>
    </r>
    <r>
      <rPr>
        <b/>
        <sz val="11"/>
        <color theme="1"/>
        <rFont val="Calibri"/>
        <family val="2"/>
        <scheme val="minor"/>
      </rPr>
      <t xml:space="preserve">Profile
</t>
    </r>
    <r>
      <rPr>
        <sz val="11"/>
        <color theme="1"/>
        <rFont val="Calibri"/>
        <family val="2"/>
        <scheme val="minor"/>
      </rPr>
      <t xml:space="preserve">2. Store tab pressing intent of user in context </t>
    </r>
    <r>
      <rPr>
        <b/>
        <sz val="11"/>
        <color theme="1"/>
        <rFont val="Calibri"/>
        <family val="2"/>
        <scheme val="minor"/>
      </rPr>
      <t>tabIntent</t>
    </r>
    <r>
      <rPr>
        <sz val="11"/>
        <color theme="1"/>
        <rFont val="Calibri"/>
        <family val="2"/>
        <scheme val="minor"/>
      </rPr>
      <t xml:space="preserve"> = RIDES, BIKES, PROFILE and share globally
3. navigate the user to </t>
    </r>
    <r>
      <rPr>
        <b/>
        <sz val="11"/>
        <color theme="1"/>
        <rFont val="Calibri"/>
        <family val="2"/>
        <scheme val="minor"/>
      </rPr>
      <t>SignIn</t>
    </r>
    <r>
      <rPr>
        <sz val="11"/>
        <color theme="1"/>
        <rFont val="Calibri"/>
        <family val="2"/>
        <scheme val="minor"/>
      </rPr>
      <t xml:space="preserve"> screen</t>
    </r>
  </si>
  <si>
    <r>
      <t>1.</t>
    </r>
    <r>
      <rPr>
        <b/>
        <sz val="11"/>
        <rFont val="Calibri"/>
        <family val="2"/>
        <scheme val="minor"/>
      </rPr>
      <t xml:space="preserve"> Explore</t>
    </r>
    <r>
      <rPr>
        <sz val="11"/>
        <rFont val="Calibri"/>
        <family val="2"/>
        <scheme val="minor"/>
      </rPr>
      <t xml:space="preserve"> screen render
2. </t>
    </r>
    <r>
      <rPr>
        <b/>
        <sz val="11"/>
        <rFont val="Calibri"/>
        <family val="2"/>
        <scheme val="minor"/>
      </rPr>
      <t>My Rides</t>
    </r>
    <r>
      <rPr>
        <sz val="11"/>
        <rFont val="Calibri"/>
        <family val="2"/>
        <scheme val="minor"/>
      </rPr>
      <t xml:space="preserve">, </t>
    </r>
    <r>
      <rPr>
        <b/>
        <sz val="11"/>
        <rFont val="Calibri"/>
        <family val="2"/>
        <scheme val="minor"/>
      </rPr>
      <t>My Bikes</t>
    </r>
    <r>
      <rPr>
        <sz val="11"/>
        <rFont val="Calibri"/>
        <family val="2"/>
        <scheme val="minor"/>
      </rPr>
      <t xml:space="preserve">, </t>
    </r>
    <r>
      <rPr>
        <b/>
        <sz val="11"/>
        <rFont val="Calibri"/>
        <family val="2"/>
        <scheme val="minor"/>
      </rPr>
      <t>Explore</t>
    </r>
    <r>
      <rPr>
        <sz val="11"/>
        <rFont val="Calibri"/>
        <family val="2"/>
        <scheme val="minor"/>
      </rPr>
      <t xml:space="preserve">, </t>
    </r>
    <r>
      <rPr>
        <b/>
        <sz val="11"/>
        <rFont val="Calibri"/>
        <family val="2"/>
        <scheme val="minor"/>
      </rPr>
      <t xml:space="preserve">Profile </t>
    </r>
    <r>
      <rPr>
        <sz val="11"/>
        <rFont val="Calibri"/>
        <family val="2"/>
        <scheme val="minor"/>
      </rPr>
      <t>bottomNavTabs render with Explore tab active (MANUAL/e2e TESTING)</t>
    </r>
  </si>
  <si>
    <t>All tab icons press call mockFunction()</t>
  </si>
  <si>
    <r>
      <t xml:space="preserve">Given user's authStatus = AUTHENTICATED, pressing Rent a Bike button:
1. Navigates to </t>
    </r>
    <r>
      <rPr>
        <b/>
        <sz val="11"/>
        <color theme="1"/>
        <rFont val="Calibri"/>
        <family val="2"/>
        <scheme val="minor"/>
      </rPr>
      <t xml:space="preserve">RenterE-BikeFilter </t>
    </r>
    <r>
      <rPr>
        <sz val="11"/>
        <color theme="1"/>
        <rFont val="Calibri"/>
        <family val="2"/>
        <scheme val="minor"/>
      </rPr>
      <t xml:space="preserve">screen
2. Activates </t>
    </r>
    <r>
      <rPr>
        <b/>
        <sz val="11"/>
        <color theme="1"/>
        <rFont val="Calibri"/>
        <family val="2"/>
        <scheme val="minor"/>
      </rPr>
      <t>My Rides</t>
    </r>
    <r>
      <rPr>
        <sz val="11"/>
        <color theme="1"/>
        <rFont val="Calibri"/>
        <family val="2"/>
        <scheme val="minor"/>
      </rPr>
      <t xml:space="preserve"> bottomNavTab</t>
    </r>
  </si>
  <si>
    <r>
      <t xml:space="preserve">Given user's authStatus = AUTHENTICATED, pressing List a Bike button:
1. Navigates to </t>
    </r>
    <r>
      <rPr>
        <b/>
        <sz val="11"/>
        <color theme="1"/>
        <rFont val="Calibri"/>
        <family val="2"/>
        <scheme val="minor"/>
      </rPr>
      <t xml:space="preserve">OwnerE-BikeListing </t>
    </r>
    <r>
      <rPr>
        <sz val="11"/>
        <color theme="1"/>
        <rFont val="Calibri"/>
        <family val="2"/>
        <scheme val="minor"/>
      </rPr>
      <t xml:space="preserve">screen
2. Activates </t>
    </r>
    <r>
      <rPr>
        <b/>
        <sz val="11"/>
        <color theme="1"/>
        <rFont val="Calibri"/>
        <family val="2"/>
        <scheme val="minor"/>
      </rPr>
      <t>My Bikes</t>
    </r>
    <r>
      <rPr>
        <sz val="11"/>
        <color theme="1"/>
        <rFont val="Calibri"/>
        <family val="2"/>
        <scheme val="minor"/>
      </rPr>
      <t xml:space="preserve"> bottomNavTab</t>
    </r>
  </si>
  <si>
    <t xml:space="preserve">Create user table in database </t>
  </si>
  <si>
    <r>
      <rPr>
        <b/>
        <sz val="11"/>
        <color theme="1"/>
        <rFont val="Calibri"/>
        <family val="2"/>
        <scheme val="minor"/>
      </rPr>
      <t>Explore</t>
    </r>
    <r>
      <rPr>
        <sz val="11"/>
        <color theme="1"/>
        <rFont val="Calibri"/>
        <family val="2"/>
        <scheme val="minor"/>
      </rPr>
      <t xml:space="preserve"> hyperlink is visible on Landing screen</t>
    </r>
  </si>
  <si>
    <t>Micro2Move logo + text: "Shining the light on micro-mobility" is visible on Landing screen (might be MANUAL)</t>
  </si>
  <si>
    <t>Handle button, hyperlink press with onPress</t>
  </si>
  <si>
    <r>
      <t xml:space="preserve">Given user's authStatus = AUTHENTICATED and entryIntent = RENT:
1. Navigate to </t>
    </r>
    <r>
      <rPr>
        <b/>
        <sz val="11"/>
        <color theme="1"/>
        <rFont val="Calibri"/>
        <family val="2"/>
        <scheme val="minor"/>
      </rPr>
      <t xml:space="preserve">RenterE-BikeFilter </t>
    </r>
    <r>
      <rPr>
        <sz val="11"/>
        <color theme="1"/>
        <rFont val="Calibri"/>
        <family val="2"/>
        <scheme val="minor"/>
      </rPr>
      <t xml:space="preserve">screen
2. Show "Welcome Username" as heading of the </t>
    </r>
    <r>
      <rPr>
        <b/>
        <sz val="11"/>
        <color theme="1"/>
        <rFont val="Calibri"/>
        <family val="2"/>
        <scheme val="minor"/>
      </rPr>
      <t>RenterE-BikeFilter</t>
    </r>
    <r>
      <rPr>
        <sz val="11"/>
        <color theme="1"/>
        <rFont val="Calibri"/>
        <family val="2"/>
        <scheme val="minor"/>
      </rPr>
      <t xml:space="preserve"> screen
3. Show "Book an E-Bike" sub-heading under heading
3. Activate </t>
    </r>
    <r>
      <rPr>
        <b/>
        <sz val="11"/>
        <color theme="1"/>
        <rFont val="Calibri"/>
        <family val="2"/>
        <scheme val="minor"/>
      </rPr>
      <t>My Rides</t>
    </r>
    <r>
      <rPr>
        <sz val="11"/>
        <color theme="1"/>
        <rFont val="Calibri"/>
        <family val="2"/>
        <scheme val="minor"/>
      </rPr>
      <t xml:space="preserve"> bottomNavTab</t>
    </r>
  </si>
  <si>
    <r>
      <t xml:space="preserve">Given user's authStatus = AUTHENTICATED and entryIntent = LIST:
1. Navigate to </t>
    </r>
    <r>
      <rPr>
        <b/>
        <sz val="11"/>
        <color theme="1"/>
        <rFont val="Calibri"/>
        <family val="2"/>
        <scheme val="minor"/>
      </rPr>
      <t xml:space="preserve">OwnerE-BikeBooking </t>
    </r>
    <r>
      <rPr>
        <sz val="11"/>
        <color theme="1"/>
        <rFont val="Calibri"/>
        <family val="2"/>
        <scheme val="minor"/>
      </rPr>
      <t xml:space="preserve">screen
2. Show "Welcome Username" as heading of the </t>
    </r>
    <r>
      <rPr>
        <b/>
        <sz val="11"/>
        <color theme="1"/>
        <rFont val="Calibri"/>
        <family val="2"/>
        <scheme val="minor"/>
      </rPr>
      <t>OwnerE-BikeListing</t>
    </r>
    <r>
      <rPr>
        <sz val="11"/>
        <color theme="1"/>
        <rFont val="Calibri"/>
        <family val="2"/>
        <scheme val="minor"/>
      </rPr>
      <t xml:space="preserve"> screen
3. Show "Your E-Bikes" as subheading under heading
4. Activate </t>
    </r>
    <r>
      <rPr>
        <b/>
        <sz val="11"/>
        <color theme="1"/>
        <rFont val="Calibri"/>
        <family val="2"/>
        <scheme val="minor"/>
      </rPr>
      <t>My Bikes</t>
    </r>
    <r>
      <rPr>
        <sz val="11"/>
        <color theme="1"/>
        <rFont val="Calibri"/>
        <family val="2"/>
        <scheme val="minor"/>
      </rPr>
      <t xml:space="preserve"> bottomNavTab</t>
    </r>
  </si>
  <si>
    <r>
      <t xml:space="preserve">If user's authStatus = UNAUTHENTICATED
1. </t>
    </r>
    <r>
      <rPr>
        <b/>
        <sz val="11"/>
        <rFont val="Calibri"/>
        <family val="2"/>
        <scheme val="minor"/>
      </rPr>
      <t>My Rides</t>
    </r>
    <r>
      <rPr>
        <sz val="11"/>
        <rFont val="Calibri"/>
        <family val="2"/>
        <scheme val="minor"/>
      </rPr>
      <t xml:space="preserve">, </t>
    </r>
    <r>
      <rPr>
        <b/>
        <sz val="11"/>
        <rFont val="Calibri"/>
        <family val="2"/>
        <scheme val="minor"/>
      </rPr>
      <t>My Bikes</t>
    </r>
    <r>
      <rPr>
        <sz val="11"/>
        <rFont val="Calibri"/>
        <family val="2"/>
        <scheme val="minor"/>
      </rPr>
      <t xml:space="preserve">, </t>
    </r>
    <r>
      <rPr>
        <b/>
        <sz val="11"/>
        <rFont val="Calibri"/>
        <family val="2"/>
        <scheme val="minor"/>
      </rPr>
      <t xml:space="preserve">Profile </t>
    </r>
    <r>
      <rPr>
        <sz val="11"/>
        <rFont val="Calibri"/>
        <family val="2"/>
        <scheme val="minor"/>
      </rPr>
      <t xml:space="preserve">tabs are not pressable (MANUAL/e2e TESTING)
2. user is navigated to </t>
    </r>
    <r>
      <rPr>
        <b/>
        <sz val="11"/>
        <rFont val="Calibri"/>
        <family val="2"/>
        <scheme val="minor"/>
      </rPr>
      <t>SignIn</t>
    </r>
    <r>
      <rPr>
        <sz val="11"/>
        <rFont val="Calibri"/>
        <family val="2"/>
        <scheme val="minor"/>
      </rPr>
      <t xml:space="preserve"> screen (MANUAL/e2e TESTING)</t>
    </r>
  </si>
  <si>
    <r>
      <t xml:space="preserve">If user's authStatus = UNAUTHENTICATED
Routing logic works with tabs mapped to correct screens:
1. </t>
    </r>
    <r>
      <rPr>
        <b/>
        <sz val="11"/>
        <rFont val="Calibri"/>
        <family val="2"/>
        <scheme val="minor"/>
      </rPr>
      <t>My Rides</t>
    </r>
    <r>
      <rPr>
        <sz val="11"/>
        <rFont val="Calibri"/>
        <family val="2"/>
        <scheme val="minor"/>
      </rPr>
      <t xml:space="preserve"> - RenterE-BikeFilter
2. </t>
    </r>
    <r>
      <rPr>
        <b/>
        <sz val="11"/>
        <rFont val="Calibri"/>
        <family val="2"/>
        <scheme val="minor"/>
      </rPr>
      <t>My Bikes</t>
    </r>
    <r>
      <rPr>
        <sz val="11"/>
        <rFont val="Calibri"/>
        <family val="2"/>
        <scheme val="minor"/>
      </rPr>
      <t xml:space="preserve"> -  OwnerE-BikeListing
3. </t>
    </r>
    <r>
      <rPr>
        <b/>
        <sz val="11"/>
        <rFont val="Calibri"/>
        <family val="2"/>
        <scheme val="minor"/>
      </rPr>
      <t>Explore</t>
    </r>
    <r>
      <rPr>
        <sz val="11"/>
        <rFont val="Calibri"/>
        <family val="2"/>
        <scheme val="minor"/>
      </rPr>
      <t xml:space="preserve"> - ExploreMaps</t>
    </r>
    <r>
      <rPr>
        <b/>
        <sz val="11"/>
        <rFont val="Calibri"/>
        <family val="2"/>
        <scheme val="minor"/>
      </rPr>
      <t xml:space="preserve">
</t>
    </r>
    <r>
      <rPr>
        <sz val="11"/>
        <rFont val="Calibri"/>
        <family val="2"/>
        <scheme val="minor"/>
      </rPr>
      <t xml:space="preserve">4. </t>
    </r>
    <r>
      <rPr>
        <b/>
        <sz val="11"/>
        <rFont val="Calibri"/>
        <family val="2"/>
        <scheme val="minor"/>
      </rPr>
      <t>Profile</t>
    </r>
    <r>
      <rPr>
        <sz val="11"/>
        <rFont val="Calibri"/>
        <family val="2"/>
        <scheme val="minor"/>
      </rPr>
      <t xml:space="preserve"> - Profile
(MANUAL/e2e TESTING)</t>
    </r>
  </si>
  <si>
    <t>After successful login (if user's authStatus = AUTHENTICATED) redirect to the intended tab, based on tabIntent</t>
  </si>
  <si>
    <r>
      <t xml:space="preserve">1. Create </t>
    </r>
    <r>
      <rPr>
        <b/>
        <sz val="11"/>
        <color theme="1"/>
        <rFont val="Calibri"/>
        <family val="2"/>
        <scheme val="minor"/>
      </rPr>
      <t>Sign Up</t>
    </r>
    <r>
      <rPr>
        <sz val="11"/>
        <color theme="1"/>
        <rFont val="Calibri"/>
        <family val="2"/>
        <scheme val="minor"/>
      </rPr>
      <t xml:space="preserve"> screen layout
2. Full Name input
3. Birth date picker - calendar control
4. Email input
5. Terms &amp; Conditions checkbox
6. Disable Continue button until checkbox checked</t>
    </r>
  </si>
  <si>
    <t>Client-side validations:
1. Age &gt; 16 years
2. Prevent using same email to signup twice</t>
  </si>
  <si>
    <r>
      <t xml:space="preserve">1. Create T&amp;C screen layout
2. Render scrollable content
3. Implement </t>
    </r>
    <r>
      <rPr>
        <b/>
        <sz val="11"/>
        <color theme="1"/>
        <rFont val="Calibri"/>
        <family val="2"/>
        <scheme val="minor"/>
      </rPr>
      <t>OK</t>
    </r>
    <r>
      <rPr>
        <sz val="11"/>
        <color theme="1"/>
        <rFont val="Calibri"/>
        <family val="2"/>
        <scheme val="minor"/>
      </rPr>
      <t xml:space="preserve"> button
4. Navigate back to </t>
    </r>
    <r>
      <rPr>
        <b/>
        <sz val="11"/>
        <color theme="1"/>
        <rFont val="Calibri"/>
        <family val="2"/>
        <scheme val="minor"/>
      </rPr>
      <t>Sign Up</t>
    </r>
    <r>
      <rPr>
        <sz val="11"/>
        <color theme="1"/>
        <rFont val="Calibri"/>
        <family val="2"/>
        <scheme val="minor"/>
      </rPr>
      <t xml:space="preserve"> screen upon pressing OK button</t>
    </r>
  </si>
  <si>
    <t>1. Validate image against ID ~ 80%</t>
  </si>
  <si>
    <t>1. Validate image is without hats or glasses
2. Validate image clarity (no blur or shake)</t>
  </si>
  <si>
    <t>1. Show loading state
2. Handle backend validation errors (existing email)
3. Display field entry errors</t>
  </si>
  <si>
    <t>1. Detect entryIntent (RENT/LIST)
2. Detect tabIntent (RIDES/BIKES/PROFILE)</t>
  </si>
  <si>
    <r>
      <t xml:space="preserve">1. Renter should be navigated to </t>
    </r>
    <r>
      <rPr>
        <b/>
        <sz val="11"/>
        <color theme="1"/>
        <rFont val="Calibri"/>
        <family val="2"/>
        <scheme val="minor"/>
      </rPr>
      <t>RenterE-BikeBookingFilter</t>
    </r>
    <r>
      <rPr>
        <sz val="11"/>
        <color theme="1"/>
        <rFont val="Calibri"/>
        <family val="2"/>
        <scheme val="minor"/>
      </rPr>
      <t xml:space="preserve"> screen layout
2. Show "Welcome Username" as heading of the RenterE-BikeFilter screen
3. Show "Book an E-Bike" sub-heading under heading
4. Activate </t>
    </r>
    <r>
      <rPr>
        <b/>
        <sz val="11"/>
        <color theme="1"/>
        <rFont val="Calibri"/>
        <family val="2"/>
        <scheme val="minor"/>
      </rPr>
      <t>My Rides</t>
    </r>
    <r>
      <rPr>
        <sz val="11"/>
        <color theme="1"/>
        <rFont val="Calibri"/>
        <family val="2"/>
        <scheme val="minor"/>
      </rPr>
      <t xml:space="preserve"> bottomNavTab</t>
    </r>
  </si>
  <si>
    <r>
      <t xml:space="preserve">1. Lister/Owner should be navigated to </t>
    </r>
    <r>
      <rPr>
        <b/>
        <sz val="11"/>
        <color theme="1"/>
        <rFont val="Calibri"/>
        <family val="2"/>
        <scheme val="minor"/>
      </rPr>
      <t>OwnerE-BikeBooking</t>
    </r>
    <r>
      <rPr>
        <sz val="11"/>
        <color theme="1"/>
        <rFont val="Calibri"/>
        <family val="2"/>
        <scheme val="minor"/>
      </rPr>
      <t xml:space="preserve"> screen
2. Show "Welcome Username" as heading of the OwnerE-BikeListing screen
3. Show "Your E-Bikes" as subheading under heading
4. Activate </t>
    </r>
    <r>
      <rPr>
        <b/>
        <sz val="11"/>
        <color theme="1"/>
        <rFont val="Calibri"/>
        <family val="2"/>
        <scheme val="minor"/>
      </rPr>
      <t>My Bikes</t>
    </r>
    <r>
      <rPr>
        <sz val="11"/>
        <color theme="1"/>
        <rFont val="Calibri"/>
        <family val="2"/>
        <scheme val="minor"/>
      </rPr>
      <t xml:space="preserve"> bottomNavTab</t>
    </r>
  </si>
  <si>
    <r>
      <t xml:space="preserve">1. T&amp;C checkbox pressing calls a mockFunction()
2. Govt. ID &amp; Selfie buttons pressing calls a mockFunction()
3. </t>
    </r>
    <r>
      <rPr>
        <b/>
        <sz val="11"/>
        <color theme="1"/>
        <rFont val="Calibri"/>
        <family val="2"/>
        <scheme val="minor"/>
      </rPr>
      <t xml:space="preserve">Continue </t>
    </r>
    <r>
      <rPr>
        <sz val="11"/>
        <color theme="1"/>
        <rFont val="Calibri"/>
        <family val="2"/>
        <scheme val="minor"/>
      </rPr>
      <t xml:space="preserve">&amp; </t>
    </r>
    <r>
      <rPr>
        <u/>
        <sz val="11"/>
        <color theme="1"/>
        <rFont val="Calibri"/>
        <family val="2"/>
        <scheme val="minor"/>
      </rPr>
      <t>Sign In</t>
    </r>
    <r>
      <rPr>
        <sz val="11"/>
        <color theme="1"/>
        <rFont val="Calibri"/>
        <family val="2"/>
        <scheme val="minor"/>
      </rPr>
      <t xml:space="preserve"> pressing calls a mockFunction()</t>
    </r>
  </si>
  <si>
    <r>
      <t xml:space="preserve">Sign Up screen renders
1. </t>
    </r>
    <r>
      <rPr>
        <b/>
        <sz val="11"/>
        <color theme="1"/>
        <rFont val="Calibri"/>
        <family val="2"/>
        <scheme val="minor"/>
      </rPr>
      <t>Full Name</t>
    </r>
    <r>
      <rPr>
        <sz val="11"/>
        <color theme="1"/>
        <rFont val="Calibri"/>
        <family val="2"/>
        <scheme val="minor"/>
      </rPr>
      <t xml:space="preserve"> input field is visible
2. </t>
    </r>
    <r>
      <rPr>
        <b/>
        <sz val="11"/>
        <color theme="1"/>
        <rFont val="Calibri"/>
        <family val="2"/>
        <scheme val="minor"/>
      </rPr>
      <t>Date of Birth</t>
    </r>
    <r>
      <rPr>
        <sz val="11"/>
        <color theme="1"/>
        <rFont val="Calibri"/>
        <family val="2"/>
        <scheme val="minor"/>
      </rPr>
      <t xml:space="preserve"> input field and calendar control is visible
3. </t>
    </r>
    <r>
      <rPr>
        <b/>
        <sz val="11"/>
        <color theme="1"/>
        <rFont val="Calibri"/>
        <family val="2"/>
        <scheme val="minor"/>
      </rPr>
      <t>Email</t>
    </r>
    <r>
      <rPr>
        <sz val="11"/>
        <color theme="1"/>
        <rFont val="Calibri"/>
        <family val="2"/>
        <scheme val="minor"/>
      </rPr>
      <t xml:space="preserve"> input is visible
4. </t>
    </r>
    <r>
      <rPr>
        <b/>
        <sz val="11"/>
        <color theme="1"/>
        <rFont val="Calibri"/>
        <family val="2"/>
        <scheme val="minor"/>
      </rPr>
      <t>Create Password</t>
    </r>
    <r>
      <rPr>
        <sz val="11"/>
        <color theme="1"/>
        <rFont val="Calibri"/>
        <family val="2"/>
        <scheme val="minor"/>
      </rPr>
      <t xml:space="preserve"> input is visible
5. I accept the T&amp;C </t>
    </r>
    <r>
      <rPr>
        <b/>
        <sz val="11"/>
        <color theme="1"/>
        <rFont val="Calibri"/>
        <family val="2"/>
        <scheme val="minor"/>
      </rPr>
      <t>checkbox</t>
    </r>
    <r>
      <rPr>
        <sz val="11"/>
        <color theme="1"/>
        <rFont val="Calibri"/>
        <family val="2"/>
        <scheme val="minor"/>
      </rPr>
      <t xml:space="preserve"> is visible
6. Upload Government ID &amp; Selfie buttons are visible
7. </t>
    </r>
    <r>
      <rPr>
        <b/>
        <sz val="11"/>
        <color theme="1"/>
        <rFont val="Calibri"/>
        <family val="2"/>
        <scheme val="minor"/>
      </rPr>
      <t>Continue</t>
    </r>
    <r>
      <rPr>
        <sz val="11"/>
        <color theme="1"/>
        <rFont val="Calibri"/>
        <family val="2"/>
        <scheme val="minor"/>
      </rPr>
      <t xml:space="preserve"> button is visible
8. </t>
    </r>
    <r>
      <rPr>
        <u/>
        <sz val="11"/>
        <color theme="1"/>
        <rFont val="Calibri"/>
        <family val="2"/>
        <scheme val="minor"/>
      </rPr>
      <t>Sign In</t>
    </r>
    <r>
      <rPr>
        <sz val="11"/>
        <color theme="1"/>
        <rFont val="Calibri"/>
        <family val="2"/>
        <scheme val="minor"/>
      </rPr>
      <t xml:space="preserve"> hyperlink is visible</t>
    </r>
  </si>
  <si>
    <r>
      <t xml:space="preserve">1. Add ID upload button
2. Integrate camera
3. Preview uploaded ID
4. Handle upload failure
5. </t>
    </r>
    <r>
      <rPr>
        <b/>
        <sz val="11"/>
        <color theme="1"/>
        <rFont val="Calibri"/>
        <family val="2"/>
        <scheme val="minor"/>
      </rPr>
      <t>Ok</t>
    </r>
    <r>
      <rPr>
        <sz val="11"/>
        <color theme="1"/>
        <rFont val="Calibri"/>
        <family val="2"/>
        <scheme val="minor"/>
      </rPr>
      <t xml:space="preserve"> and </t>
    </r>
    <r>
      <rPr>
        <b/>
        <sz val="11"/>
        <color theme="1"/>
        <rFont val="Calibri"/>
        <family val="2"/>
        <scheme val="minor"/>
      </rPr>
      <t>Retake</t>
    </r>
    <r>
      <rPr>
        <sz val="11"/>
        <color theme="1"/>
        <rFont val="Calibri"/>
        <family val="2"/>
        <scheme val="minor"/>
      </rPr>
      <t xml:space="preserve"> buttons
6. </t>
    </r>
    <r>
      <rPr>
        <b/>
        <sz val="11"/>
        <color theme="1"/>
        <rFont val="Calibri"/>
        <family val="2"/>
        <scheme val="minor"/>
      </rPr>
      <t>Ok</t>
    </r>
    <r>
      <rPr>
        <sz val="11"/>
        <color theme="1"/>
        <rFont val="Calibri"/>
        <family val="2"/>
        <scheme val="minor"/>
      </rPr>
      <t xml:space="preserve"> button closes the camera and navigates to </t>
    </r>
    <r>
      <rPr>
        <b/>
        <sz val="11"/>
        <color theme="1"/>
        <rFont val="Calibri"/>
        <family val="2"/>
        <scheme val="minor"/>
      </rPr>
      <t>Sign Up</t>
    </r>
    <r>
      <rPr>
        <sz val="11"/>
        <color theme="1"/>
        <rFont val="Calibri"/>
        <family val="2"/>
        <scheme val="minor"/>
      </rPr>
      <t xml:space="preserve"> screen, </t>
    </r>
    <r>
      <rPr>
        <b/>
        <sz val="11"/>
        <color theme="1"/>
        <rFont val="Calibri"/>
        <family val="2"/>
        <scheme val="minor"/>
      </rPr>
      <t>Retake</t>
    </r>
    <r>
      <rPr>
        <sz val="11"/>
        <color theme="1"/>
        <rFont val="Calibri"/>
        <family val="2"/>
        <scheme val="minor"/>
      </rPr>
      <t xml:space="preserve"> button reopens the camera</t>
    </r>
  </si>
  <si>
    <r>
      <t xml:space="preserve">1. Add selfie capture button
2. Open camera
3. Capture selfie image
4. Preview selfie
5. </t>
    </r>
    <r>
      <rPr>
        <b/>
        <sz val="11"/>
        <color theme="1"/>
        <rFont val="Calibri"/>
        <family val="2"/>
        <scheme val="minor"/>
      </rPr>
      <t>Ok</t>
    </r>
    <r>
      <rPr>
        <sz val="11"/>
        <color theme="1"/>
        <rFont val="Calibri"/>
        <family val="2"/>
        <scheme val="minor"/>
      </rPr>
      <t xml:space="preserve"> and </t>
    </r>
    <r>
      <rPr>
        <b/>
        <sz val="11"/>
        <color theme="1"/>
        <rFont val="Calibri"/>
        <family val="2"/>
        <scheme val="minor"/>
      </rPr>
      <t>Retake</t>
    </r>
    <r>
      <rPr>
        <sz val="11"/>
        <color theme="1"/>
        <rFont val="Calibri"/>
        <family val="2"/>
        <scheme val="minor"/>
      </rPr>
      <t xml:space="preserve"> buttons
6.</t>
    </r>
    <r>
      <rPr>
        <b/>
        <sz val="11"/>
        <color theme="1"/>
        <rFont val="Calibri"/>
        <family val="2"/>
        <scheme val="minor"/>
      </rPr>
      <t xml:space="preserve"> Ok</t>
    </r>
    <r>
      <rPr>
        <sz val="11"/>
        <color theme="1"/>
        <rFont val="Calibri"/>
        <family val="2"/>
        <scheme val="minor"/>
      </rPr>
      <t xml:space="preserve"> button closes the camera and navigates to </t>
    </r>
    <r>
      <rPr>
        <b/>
        <sz val="11"/>
        <color theme="1"/>
        <rFont val="Calibri"/>
        <family val="2"/>
        <scheme val="minor"/>
      </rPr>
      <t>Sign Up</t>
    </r>
    <r>
      <rPr>
        <sz val="11"/>
        <color theme="1"/>
        <rFont val="Calibri"/>
        <family val="2"/>
        <scheme val="minor"/>
      </rPr>
      <t xml:space="preserve"> screen, </t>
    </r>
    <r>
      <rPr>
        <b/>
        <sz val="11"/>
        <color theme="1"/>
        <rFont val="Calibri"/>
        <family val="2"/>
        <scheme val="minor"/>
      </rPr>
      <t>Retake</t>
    </r>
    <r>
      <rPr>
        <sz val="11"/>
        <color theme="1"/>
        <rFont val="Calibri"/>
        <family val="2"/>
        <scheme val="minor"/>
      </rPr>
      <t xml:space="preserve"> button reopens the camera
7. Handle upload failure</t>
    </r>
  </si>
  <si>
    <t>Sign In screen renders without crashing
1. Email input is visible
2. Password input is visible
3. Sign In button is visible
4. Sign Up hyperlink is visible</t>
  </si>
  <si>
    <r>
      <t xml:space="preserve">1. T&amp;C screen navigation and reverse navigation to </t>
    </r>
    <r>
      <rPr>
        <b/>
        <sz val="11"/>
        <color theme="1"/>
        <rFont val="Calibri"/>
        <family val="2"/>
        <scheme val="minor"/>
      </rPr>
      <t>Sign Up</t>
    </r>
    <r>
      <rPr>
        <sz val="11"/>
        <color theme="1"/>
        <rFont val="Calibri"/>
        <family val="2"/>
        <scheme val="minor"/>
      </rPr>
      <t xml:space="preserve"> screen via </t>
    </r>
    <r>
      <rPr>
        <b/>
        <sz val="11"/>
        <color theme="1"/>
        <rFont val="Calibri"/>
        <family val="2"/>
        <scheme val="minor"/>
      </rPr>
      <t>Ok</t>
    </r>
    <r>
      <rPr>
        <sz val="11"/>
        <color theme="1"/>
        <rFont val="Calibri"/>
        <family val="2"/>
        <scheme val="minor"/>
      </rPr>
      <t xml:space="preserve"> button works
2. Camera open, close, </t>
    </r>
    <r>
      <rPr>
        <b/>
        <sz val="11"/>
        <color theme="1"/>
        <rFont val="Calibri"/>
        <family val="2"/>
        <scheme val="minor"/>
      </rPr>
      <t>Retake</t>
    </r>
    <r>
      <rPr>
        <sz val="11"/>
        <color theme="1"/>
        <rFont val="Calibri"/>
        <family val="2"/>
        <scheme val="minor"/>
      </rPr>
      <t xml:space="preserve">, </t>
    </r>
    <r>
      <rPr>
        <b/>
        <sz val="11"/>
        <color theme="1"/>
        <rFont val="Calibri"/>
        <family val="2"/>
        <scheme val="minor"/>
      </rPr>
      <t>Ok</t>
    </r>
    <r>
      <rPr>
        <sz val="11"/>
        <color theme="1"/>
        <rFont val="Calibri"/>
        <family val="2"/>
        <scheme val="minor"/>
      </rPr>
      <t xml:space="preserve"> navigations work
3. </t>
    </r>
    <r>
      <rPr>
        <u/>
        <sz val="11"/>
        <color theme="1"/>
        <rFont val="Calibri"/>
        <family val="2"/>
        <scheme val="minor"/>
      </rPr>
      <t>Sign In</t>
    </r>
    <r>
      <rPr>
        <sz val="11"/>
        <color theme="1"/>
        <rFont val="Calibri"/>
        <family val="2"/>
        <scheme val="minor"/>
      </rPr>
      <t xml:space="preserve"> navigates to </t>
    </r>
    <r>
      <rPr>
        <b/>
        <sz val="11"/>
        <color theme="1"/>
        <rFont val="Calibri"/>
        <family val="2"/>
        <scheme val="minor"/>
      </rPr>
      <t>Sign In</t>
    </r>
    <r>
      <rPr>
        <sz val="11"/>
        <color theme="1"/>
        <rFont val="Calibri"/>
        <family val="2"/>
        <scheme val="minor"/>
      </rPr>
      <t xml:space="preserve"> screen
(MANUAL/e2e TESTING)</t>
    </r>
  </si>
  <si>
    <r>
      <t xml:space="preserve">1. Auto-login user upon successful sign up
2. Do not let the user to continue until all details are filled and </t>
    </r>
    <r>
      <rPr>
        <b/>
        <sz val="11"/>
        <color theme="1"/>
        <rFont val="Calibri"/>
        <family val="2"/>
        <scheme val="minor"/>
      </rPr>
      <t xml:space="preserve">T&amp;C </t>
    </r>
    <r>
      <rPr>
        <sz val="11"/>
        <color theme="1"/>
        <rFont val="Calibri"/>
        <family val="2"/>
        <scheme val="minor"/>
      </rPr>
      <t>is checked</t>
    </r>
  </si>
  <si>
    <r>
      <t xml:space="preserve">1. ID and Selfie matching accuracy ~ 80% (MANUAL/e2e TESTING)
2. Sign up attempt with duplicate email does NOT work
3. Sign up attempt with password length less than 6 characters does NOT work
4. Sign up attempt without checking in the </t>
    </r>
    <r>
      <rPr>
        <b/>
        <sz val="11"/>
        <color theme="1"/>
        <rFont val="Calibri"/>
        <family val="2"/>
        <scheme val="minor"/>
      </rPr>
      <t xml:space="preserve">T&amp;C </t>
    </r>
    <r>
      <rPr>
        <sz val="11"/>
        <color theme="1"/>
        <rFont val="Calibri"/>
        <family val="2"/>
        <scheme val="minor"/>
      </rPr>
      <t>checkbox does not work</t>
    </r>
  </si>
  <si>
    <t>1. Create AuthContext to manage authentication state globally
2. Define authStatus enum: UNKNOWN / AUTHENTICATED / UNAUTHENTICATED
3. On app startup, check for stored auth token for the user
4. Set authStatus to AUTHENTICATED if token exists
5. Set authStatus to UNAUTHENTICATED if token does not exist
6. Ensure Splash screen waits until authStatus is resolved
7. Expose authStatus globally</t>
  </si>
  <si>
    <t>KYC</t>
  </si>
  <si>
    <t>Done</t>
  </si>
  <si>
    <t>Days</t>
  </si>
  <si>
    <t>Actual Story Points Left</t>
  </si>
  <si>
    <t>Expected Story Points Left</t>
  </si>
  <si>
    <t>Story Points Done</t>
  </si>
  <si>
    <t>WIP</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</si>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</sst>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b/>
      <sz val="11"/>
      <color theme="1"/>
      <name val="Consolas"/>
      <family val="3"/>
    </font>
    <font>
      <sz val="11"/>
      <color rgb="FFFF0000"/>
      <name val="Calibri"/>
      <family val="2"/>
      <scheme val="minor"/>
    </font>
    <font>
      <sz val="11"/>
      <name val="Calibri"/>
      <family val="2"/>
      <scheme val="minor"/>
    </font>
    <font>
      <b/>
      <sz val="11"/>
      <name val="Calibri"/>
      <family val="2"/>
      <scheme val="minor"/>
    </font>
  </fonts>
  <fills count="20">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75">
    <xf numFmtId="0" fontId="0" fillId="0" borderId="0" xfId="0"/>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xf numFmtId="0" fontId="0" fillId="2" borderId="1" xfId="0" applyFill="1" applyBorder="1" applyAlignment="1">
      <alignment horizontal="left" vertical="center" wrapText="1"/>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5" borderId="1" xfId="0" applyFill="1" applyBorder="1"/>
    <xf numFmtId="0" fontId="0" fillId="5" borderId="1" xfId="0" applyFill="1" applyBorder="1" applyAlignment="1">
      <alignment wrapText="1"/>
    </xf>
    <xf numFmtId="0" fontId="0" fillId="7" borderId="0" xfId="0" applyFill="1" applyAlignment="1">
      <alignment horizontal="center"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0" fontId="0" fillId="11" borderId="1" xfId="0" applyFill="1" applyBorder="1" applyAlignment="1">
      <alignment horizontal="center" vertical="center" wrapText="1"/>
    </xf>
    <xf numFmtId="0" fontId="0" fillId="11" borderId="1" xfId="0" applyFill="1" applyBorder="1" applyAlignment="1">
      <alignment horizontal="left" vertical="center" wrapText="1"/>
    </xf>
    <xf numFmtId="0" fontId="0" fillId="12" borderId="1" xfId="0" applyFill="1" applyBorder="1" applyAlignment="1">
      <alignment horizontal="center" vertical="center" wrapText="1"/>
    </xf>
    <xf numFmtId="0" fontId="0" fillId="12" borderId="1" xfId="0" applyFill="1" applyBorder="1" applyAlignment="1">
      <alignment horizontal="left" vertical="center" wrapText="1"/>
    </xf>
    <xf numFmtId="0" fontId="0" fillId="13" borderId="1" xfId="0" applyFill="1" applyBorder="1" applyAlignment="1">
      <alignment horizontal="center" vertical="center" wrapText="1"/>
    </xf>
    <xf numFmtId="0" fontId="0" fillId="13" borderId="1" xfId="0" applyFill="1" applyBorder="1" applyAlignment="1">
      <alignment horizontal="left" vertical="center" wrapText="1"/>
    </xf>
    <xf numFmtId="0" fontId="8" fillId="13" borderId="1" xfId="0" applyFont="1" applyFill="1" applyBorder="1" applyAlignment="1">
      <alignment horizontal="left" vertical="center" wrapText="1"/>
    </xf>
    <xf numFmtId="0" fontId="0" fillId="14" borderId="1" xfId="0" applyFill="1" applyBorder="1" applyAlignment="1">
      <alignment horizontal="center" vertical="center" wrapText="1"/>
    </xf>
    <xf numFmtId="0" fontId="0" fillId="14" borderId="1" xfId="0" applyFill="1" applyBorder="1" applyAlignment="1">
      <alignment horizontal="left" vertical="center" wrapText="1"/>
    </xf>
    <xf numFmtId="0" fontId="0" fillId="15" borderId="1" xfId="0" applyFill="1" applyBorder="1" applyAlignment="1">
      <alignment horizontal="center" vertical="center" wrapText="1"/>
    </xf>
    <xf numFmtId="0" fontId="8" fillId="15" borderId="1" xfId="0" applyFont="1" applyFill="1" applyBorder="1" applyAlignment="1">
      <alignment horizontal="left" vertical="center" wrapText="1"/>
    </xf>
    <xf numFmtId="0" fontId="0" fillId="16" borderId="1" xfId="0" applyFill="1" applyBorder="1" applyAlignment="1">
      <alignment horizontal="center" vertical="center" wrapText="1"/>
    </xf>
    <xf numFmtId="0" fontId="0" fillId="16" borderId="1" xfId="0" applyFill="1" applyBorder="1" applyAlignment="1">
      <alignment horizontal="left" vertical="center" wrapText="1"/>
    </xf>
    <xf numFmtId="0" fontId="0" fillId="7" borderId="1"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1" xfId="0" applyFill="1" applyBorder="1" applyAlignment="1">
      <alignment horizontal="left" vertical="center" wrapText="1"/>
    </xf>
    <xf numFmtId="0" fontId="0" fillId="18" borderId="1" xfId="0" applyFill="1" applyBorder="1" applyAlignment="1">
      <alignment horizontal="center" vertical="center" wrapText="1"/>
    </xf>
    <xf numFmtId="0" fontId="0" fillId="18" borderId="1" xfId="0" applyFill="1" applyBorder="1" applyAlignment="1">
      <alignment horizontal="left" vertical="center" wrapText="1"/>
    </xf>
    <xf numFmtId="0" fontId="0" fillId="19" borderId="1" xfId="0" applyFill="1" applyBorder="1" applyAlignment="1">
      <alignment horizontal="center" vertical="center" wrapText="1"/>
    </xf>
    <xf numFmtId="0" fontId="0" fillId="19" borderId="1" xfId="0" applyFill="1" applyBorder="1" applyAlignment="1">
      <alignment horizontal="left"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17" borderId="2"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4" xfId="0" applyFill="1" applyBorder="1" applyAlignment="1">
      <alignment horizontal="center" vertical="center" wrapText="1"/>
    </xf>
    <xf numFmtId="0" fontId="0" fillId="19" borderId="2" xfId="0" applyFill="1" applyBorder="1" applyAlignment="1">
      <alignment horizontal="center" vertical="center" wrapText="1"/>
    </xf>
    <xf numFmtId="0" fontId="0" fillId="19" borderId="3" xfId="0" applyFill="1" applyBorder="1" applyAlignment="1">
      <alignment horizontal="center" vertical="center" wrapText="1"/>
    </xf>
    <xf numFmtId="0" fontId="0" fillId="19" borderId="4" xfId="0" applyFill="1" applyBorder="1" applyAlignment="1">
      <alignment horizontal="center" vertical="center" wrapText="1"/>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4" xfId="0" applyFill="1" applyBorder="1" applyAlignment="1">
      <alignment horizontal="center" vertical="center" wrapText="1"/>
    </xf>
    <xf numFmtId="0" fontId="0" fillId="5" borderId="2" xfId="0" applyFill="1" applyBorder="1" applyAlignment="1">
      <alignment horizontal="center"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10" borderId="2" xfId="0" applyFill="1" applyBorder="1" applyAlignment="1">
      <alignment horizontal="center" vertical="center" wrapText="1"/>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2" borderId="2" xfId="0" applyFill="1" applyBorder="1" applyAlignment="1">
      <alignment horizontal="center" vertical="center" wrapText="1"/>
    </xf>
    <xf numFmtId="0" fontId="0" fillId="12" borderId="3" xfId="0" applyFill="1" applyBorder="1" applyAlignment="1">
      <alignment horizontal="center" vertical="center" wrapText="1"/>
    </xf>
    <xf numFmtId="0" fontId="0" fillId="12" borderId="4" xfId="0" applyFill="1" applyBorder="1" applyAlignment="1">
      <alignment horizontal="center" vertical="center" wrapText="1"/>
    </xf>
    <xf numFmtId="0" fontId="0" fillId="15" borderId="2" xfId="0" applyFill="1" applyBorder="1" applyAlignment="1">
      <alignment horizontal="center" vertical="center" wrapText="1"/>
    </xf>
    <xf numFmtId="0" fontId="0" fillId="15" borderId="3" xfId="0" applyFill="1" applyBorder="1" applyAlignment="1">
      <alignment horizontal="center" vertical="center" wrapText="1"/>
    </xf>
    <xf numFmtId="0" fontId="0" fillId="15" borderId="4" xfId="0" applyFill="1" applyBorder="1" applyAlignment="1">
      <alignment horizontal="center" vertical="center" wrapText="1"/>
    </xf>
    <xf numFmtId="0" fontId="0" fillId="11" borderId="2" xfId="0" applyFill="1" applyBorder="1" applyAlignment="1">
      <alignment horizontal="center" vertical="center" wrapText="1"/>
    </xf>
    <xf numFmtId="0" fontId="0" fillId="11" borderId="3" xfId="0" applyFill="1" applyBorder="1" applyAlignment="1">
      <alignment horizontal="center" vertical="center" wrapText="1"/>
    </xf>
    <xf numFmtId="0" fontId="0" fillId="11" borderId="4" xfId="0" applyFill="1" applyBorder="1" applyAlignment="1">
      <alignment horizontal="center" vertical="center" wrapText="1"/>
    </xf>
    <xf numFmtId="0" fontId="0" fillId="13" borderId="2" xfId="0" applyFill="1" applyBorder="1" applyAlignment="1">
      <alignment horizontal="center" vertical="center" wrapText="1"/>
    </xf>
    <xf numFmtId="0" fontId="0" fillId="13" borderId="3" xfId="0" applyFill="1" applyBorder="1" applyAlignment="1">
      <alignment horizontal="center" vertical="center" wrapText="1"/>
    </xf>
    <xf numFmtId="0" fontId="0" fillId="13" borderId="4"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Burndown!$B$1</c:f>
              <c:strCache>
                <c:ptCount val="1"/>
                <c:pt idx="0">
                  <c:v>Actual Story Points Left</c:v>
                </c:pt>
              </c:strCache>
            </c:strRef>
          </c:tx>
          <c:spPr>
            <a:ln w="28575" cap="rnd">
              <a:solidFill>
                <a:schemeClr val="accent1"/>
              </a:solidFill>
              <a:round/>
            </a:ln>
            <a:effectLst/>
          </c:spPr>
          <c:marker>
            <c:symbol val="none"/>
          </c:marker>
          <c:val>
            <c:numRef>
              <c:f>Burndown!$B$2:$B$12</c:f>
              <c:numCache>
                <c:formatCode>General</c:formatCode>
                <c:ptCount val="11"/>
                <c:pt idx="0">
                  <c:v>156</c:v>
                </c:pt>
                <c:pt idx="1">
                  <c:v>156</c:v>
                </c:pt>
                <c:pt idx="2">
                  <c:v>156</c:v>
                </c:pt>
                <c:pt idx="3">
                  <c:v>156</c:v>
                </c:pt>
                <c:pt idx="4">
                  <c:v>156</c:v>
                </c:pt>
                <c:pt idx="5">
                  <c:v>148</c:v>
                </c:pt>
                <c:pt idx="6">
                  <c:v>140</c:v>
                </c:pt>
                <c:pt idx="7">
                  <c:v>116</c:v>
                </c:pt>
                <c:pt idx="8">
                  <c:v>102</c:v>
                </c:pt>
                <c:pt idx="9">
                  <c:v>82</c:v>
                </c:pt>
                <c:pt idx="10">
                  <c:v>46</c:v>
                </c:pt>
              </c:numCache>
            </c:numRef>
          </c:val>
          <c:smooth val="0"/>
          <c:extLst>
            <c:ext xmlns:c16="http://schemas.microsoft.com/office/drawing/2014/chart" uri="{C3380CC4-5D6E-409C-BE32-E72D297353CC}">
              <c16:uniqueId val="{00000000-93A3-4D70-A15D-11D521EE13C6}"/>
            </c:ext>
          </c:extLst>
        </c:ser>
        <c:ser>
          <c:idx val="1"/>
          <c:order val="1"/>
          <c:tx>
            <c:strRef>
              <c:f>Burndown!$C$1</c:f>
              <c:strCache>
                <c:ptCount val="1"/>
                <c:pt idx="0">
                  <c:v>Expected Story Points Left</c:v>
                </c:pt>
              </c:strCache>
            </c:strRef>
          </c:tx>
          <c:spPr>
            <a:ln w="28575" cap="rnd">
              <a:solidFill>
                <a:schemeClr val="accent2"/>
              </a:solidFill>
              <a:round/>
            </a:ln>
            <a:effectLst/>
          </c:spPr>
          <c:marker>
            <c:symbol val="none"/>
          </c:marker>
          <c:val>
            <c:numRef>
              <c:f>Burndown!$C$2:$C$12</c:f>
              <c:numCache>
                <c:formatCode>General</c:formatCode>
                <c:ptCount val="11"/>
                <c:pt idx="0">
                  <c:v>156</c:v>
                </c:pt>
                <c:pt idx="1">
                  <c:v>140.4</c:v>
                </c:pt>
                <c:pt idx="2">
                  <c:v>124.8</c:v>
                </c:pt>
                <c:pt idx="3">
                  <c:v>109.2</c:v>
                </c:pt>
                <c:pt idx="4">
                  <c:v>93.6</c:v>
                </c:pt>
                <c:pt idx="5">
                  <c:v>78</c:v>
                </c:pt>
                <c:pt idx="6">
                  <c:v>62.400000000000006</c:v>
                </c:pt>
                <c:pt idx="7">
                  <c:v>46.8</c:v>
                </c:pt>
                <c:pt idx="8">
                  <c:v>31.200000000000003</c:v>
                </c:pt>
                <c:pt idx="9">
                  <c:v>15.599999999999994</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1"/>
  <sheetViews>
    <sheetView zoomScale="93" zoomScaleNormal="80" workbookViewId="0">
      <pane ySplit="1" topLeftCell="A11" activePane="bottomLeft" state="frozen"/>
      <selection pane="bottomLeft" activeCell="L65" sqref="L65"/>
    </sheetView>
  </sheetViews>
  <sheetFormatPr defaultRowHeight="14.4" x14ac:dyDescent="0.3"/>
  <cols>
    <col min="1" max="1" width="6.88671875" style="1" customWidth="1"/>
    <col min="2" max="2" width="5.109375" style="1" bestFit="1" customWidth="1"/>
    <col min="3" max="3" width="13.44140625" style="1" bestFit="1" customWidth="1"/>
    <col min="4" max="4" width="18.109375" style="1" bestFit="1" customWidth="1"/>
    <col min="5" max="5" width="12.33203125" style="1" bestFit="1" customWidth="1"/>
    <col min="6" max="6" width="80.21875" style="1" customWidth="1"/>
    <col min="7" max="7" width="12.44140625" style="1" bestFit="1" customWidth="1"/>
    <col min="8" max="8" width="13.33203125" style="1" bestFit="1" customWidth="1"/>
    <col min="9" max="9" width="11.5546875" style="1" bestFit="1" customWidth="1"/>
    <col min="10" max="10" width="4.6640625" style="1" bestFit="1" customWidth="1"/>
    <col min="11" max="11" width="4.6640625" style="1" customWidth="1"/>
    <col min="12" max="12" width="7" style="1" bestFit="1" customWidth="1"/>
    <col min="13" max="13" width="16" style="1" bestFit="1" customWidth="1"/>
    <col min="14" max="14" width="10.77734375" style="1" bestFit="1" customWidth="1"/>
    <col min="15" max="16384" width="8.88671875" style="1"/>
  </cols>
  <sheetData>
    <row r="1" spans="1:14" s="4" customFormat="1" ht="15.6" x14ac:dyDescent="0.3">
      <c r="A1" s="5" t="s">
        <v>36</v>
      </c>
      <c r="B1" s="5" t="s">
        <v>0</v>
      </c>
      <c r="C1" s="5" t="s">
        <v>1</v>
      </c>
      <c r="D1" s="5" t="s">
        <v>2</v>
      </c>
      <c r="E1" s="5" t="s">
        <v>33</v>
      </c>
      <c r="F1" s="5" t="s">
        <v>3</v>
      </c>
      <c r="G1" s="5" t="s">
        <v>4</v>
      </c>
      <c r="H1" s="5" t="s">
        <v>19</v>
      </c>
      <c r="I1" s="5" t="s">
        <v>21</v>
      </c>
      <c r="J1" s="5">
        <f>SUM(J2:J76)</f>
        <v>156</v>
      </c>
      <c r="K1" s="5">
        <f>SUM(K2:K76)</f>
        <v>156</v>
      </c>
      <c r="L1" s="5" t="s">
        <v>5</v>
      </c>
      <c r="M1" s="5" t="s">
        <v>6</v>
      </c>
      <c r="N1" s="5" t="s">
        <v>18</v>
      </c>
    </row>
    <row r="2" spans="1:14" x14ac:dyDescent="0.3">
      <c r="A2" s="19">
        <v>1</v>
      </c>
      <c r="B2" s="19"/>
      <c r="C2" s="19"/>
      <c r="D2" s="19"/>
      <c r="E2" s="19" t="s">
        <v>34</v>
      </c>
      <c r="F2" s="20" t="s">
        <v>35</v>
      </c>
      <c r="G2" s="19" t="s">
        <v>28</v>
      </c>
      <c r="H2" s="19" t="s">
        <v>26</v>
      </c>
      <c r="I2" s="19" cm="1">
        <f t="array" ref="I2">_xlfn.SWITCH(H2,"XS",1,"S",2,"M",3,"L",5,"XL",8,"XXL",13,"XXXL",21,"")</f>
        <v>8</v>
      </c>
      <c r="J2" s="19">
        <f>I2</f>
        <v>8</v>
      </c>
      <c r="K2" s="19">
        <f>J2</f>
        <v>8</v>
      </c>
      <c r="L2" s="19" t="s">
        <v>116</v>
      </c>
      <c r="M2" s="19"/>
      <c r="N2" s="19" t="s">
        <v>122</v>
      </c>
    </row>
    <row r="3" spans="1:14" x14ac:dyDescent="0.3">
      <c r="A3" s="19">
        <v>2</v>
      </c>
      <c r="B3" s="19"/>
      <c r="C3" s="19"/>
      <c r="D3" s="19"/>
      <c r="E3" s="19" t="s">
        <v>34</v>
      </c>
      <c r="F3" s="20" t="s">
        <v>31</v>
      </c>
      <c r="G3" s="19" t="s">
        <v>28</v>
      </c>
      <c r="H3" s="19" t="s">
        <v>30</v>
      </c>
      <c r="I3" s="19" cm="1">
        <f t="array" ref="I3">_xlfn.SWITCH(H3,"XS",1,"S",2,"M",3,"L",5,"XL",8,"XXL",13,"XXXL",21,"")</f>
        <v>5</v>
      </c>
      <c r="J3" s="19">
        <f t="shared" ref="J3:K64" si="0">I3</f>
        <v>5</v>
      </c>
      <c r="K3" s="19">
        <f t="shared" si="0"/>
        <v>5</v>
      </c>
      <c r="L3" s="19" t="s">
        <v>116</v>
      </c>
      <c r="M3" s="19"/>
      <c r="N3" s="19" t="s">
        <v>122</v>
      </c>
    </row>
    <row r="4" spans="1:14" x14ac:dyDescent="0.3">
      <c r="A4" s="19">
        <v>3</v>
      </c>
      <c r="B4" s="19"/>
      <c r="C4" s="19"/>
      <c r="D4" s="19"/>
      <c r="E4" s="19" t="s">
        <v>34</v>
      </c>
      <c r="F4" s="20" t="s">
        <v>29</v>
      </c>
      <c r="G4" s="19" t="s">
        <v>28</v>
      </c>
      <c r="H4" s="19" t="s">
        <v>25</v>
      </c>
      <c r="I4" s="19" cm="1">
        <f t="array" ref="I4">_xlfn.SWITCH(H4,"XS",1,"S",2,"M",3,"L",5,"XL",8,"XXL",13,"XXXL",21,"")</f>
        <v>3</v>
      </c>
      <c r="J4" s="19">
        <f t="shared" si="0"/>
        <v>3</v>
      </c>
      <c r="K4" s="19">
        <f t="shared" si="0"/>
        <v>3</v>
      </c>
      <c r="L4" s="19" t="s">
        <v>116</v>
      </c>
      <c r="M4" s="19"/>
      <c r="N4" s="19" t="s">
        <v>122</v>
      </c>
    </row>
    <row r="5" spans="1:14" x14ac:dyDescent="0.3">
      <c r="A5" s="11">
        <v>4</v>
      </c>
      <c r="B5" s="11"/>
      <c r="C5" s="11"/>
      <c r="D5" s="11"/>
      <c r="E5" s="11" t="s">
        <v>48</v>
      </c>
      <c r="F5" s="12" t="s">
        <v>88</v>
      </c>
      <c r="G5" s="11" t="s">
        <v>28</v>
      </c>
      <c r="H5" s="11" t="s">
        <v>30</v>
      </c>
      <c r="I5" s="11" cm="1">
        <f t="array" ref="I5">_xlfn.SWITCH(H5,"XS",1,"S",2,"M",3,"L",5,"XL",8,"XXL",13,"XXXL",21,"")</f>
        <v>5</v>
      </c>
      <c r="J5" s="11">
        <f t="shared" si="0"/>
        <v>5</v>
      </c>
      <c r="K5" s="11">
        <f t="shared" si="0"/>
        <v>5</v>
      </c>
      <c r="L5" s="11" t="s">
        <v>116</v>
      </c>
      <c r="M5" s="11"/>
      <c r="N5" s="11" t="s">
        <v>122</v>
      </c>
    </row>
    <row r="6" spans="1:14" x14ac:dyDescent="0.3">
      <c r="A6" s="11">
        <v>5</v>
      </c>
      <c r="B6" s="11"/>
      <c r="C6" s="11"/>
      <c r="D6" s="11"/>
      <c r="E6" s="11" t="s">
        <v>48</v>
      </c>
      <c r="F6" s="12" t="s">
        <v>49</v>
      </c>
      <c r="G6" s="11" t="s">
        <v>27</v>
      </c>
      <c r="H6" s="11" t="s">
        <v>25</v>
      </c>
      <c r="I6" s="11" cm="1">
        <f t="array" ref="I6">_xlfn.SWITCH(H6,"XS",1,"S",2,"M",3,"L",5,"XL",8,"XXL",13,"XXXL",21,"")</f>
        <v>3</v>
      </c>
      <c r="J6" s="11">
        <f t="shared" si="0"/>
        <v>3</v>
      </c>
      <c r="K6" s="11">
        <f t="shared" si="0"/>
        <v>3</v>
      </c>
      <c r="L6" s="11" t="s">
        <v>116</v>
      </c>
      <c r="M6" s="11"/>
      <c r="N6" s="11" t="s">
        <v>122</v>
      </c>
    </row>
    <row r="7" spans="1:14" ht="28.8" x14ac:dyDescent="0.3">
      <c r="A7" s="11">
        <v>6</v>
      </c>
      <c r="B7" s="11"/>
      <c r="C7" s="11"/>
      <c r="D7" s="11"/>
      <c r="E7" s="11" t="s">
        <v>48</v>
      </c>
      <c r="F7" s="12" t="s">
        <v>50</v>
      </c>
      <c r="G7" s="11" t="s">
        <v>27</v>
      </c>
      <c r="H7" s="11" t="s">
        <v>25</v>
      </c>
      <c r="I7" s="11" cm="1">
        <f t="array" ref="I7">_xlfn.SWITCH(H7,"XS",1,"S",2,"M",3,"L",5,"XL",8,"XXL",13,"XXXL",21,"")</f>
        <v>3</v>
      </c>
      <c r="J7" s="11">
        <f t="shared" si="0"/>
        <v>3</v>
      </c>
      <c r="K7" s="11">
        <f t="shared" si="0"/>
        <v>3</v>
      </c>
      <c r="L7" s="11" t="s">
        <v>116</v>
      </c>
      <c r="M7" s="11"/>
      <c r="N7" s="11" t="s">
        <v>122</v>
      </c>
    </row>
    <row r="8" spans="1:14" x14ac:dyDescent="0.3">
      <c r="A8" s="11">
        <v>7</v>
      </c>
      <c r="B8" s="11"/>
      <c r="C8" s="11"/>
      <c r="D8" s="11"/>
      <c r="E8" s="11" t="s">
        <v>48</v>
      </c>
      <c r="F8" s="12" t="s">
        <v>51</v>
      </c>
      <c r="G8" s="11" t="s">
        <v>27</v>
      </c>
      <c r="H8" s="11" t="s">
        <v>25</v>
      </c>
      <c r="I8" s="11" cm="1">
        <f t="array" ref="I8">_xlfn.SWITCH(H8,"XS",1,"S",2,"M",3,"L",5,"XL",8,"XXL",13,"XXXL",21,"")</f>
        <v>3</v>
      </c>
      <c r="J8" s="11">
        <f t="shared" si="0"/>
        <v>3</v>
      </c>
      <c r="K8" s="11">
        <f t="shared" si="0"/>
        <v>3</v>
      </c>
      <c r="L8" s="11" t="s">
        <v>116</v>
      </c>
      <c r="M8" s="11"/>
      <c r="N8" s="11" t="s">
        <v>122</v>
      </c>
    </row>
    <row r="9" spans="1:14" x14ac:dyDescent="0.3">
      <c r="A9" s="11">
        <v>8</v>
      </c>
      <c r="B9" s="11"/>
      <c r="C9" s="11"/>
      <c r="D9" s="11"/>
      <c r="E9" s="11" t="s">
        <v>44</v>
      </c>
      <c r="F9" s="12" t="s">
        <v>58</v>
      </c>
      <c r="G9" s="11" t="s">
        <v>28</v>
      </c>
      <c r="H9" s="11" t="s">
        <v>30</v>
      </c>
      <c r="I9" s="11" cm="1">
        <f t="array" ref="I9">_xlfn.SWITCH(H9,"XS",1,"S",2,"M",3,"L",5,"XL",8,"XXL",13,"XXXL",21,"")</f>
        <v>5</v>
      </c>
      <c r="J9" s="11">
        <f t="shared" si="0"/>
        <v>5</v>
      </c>
      <c r="K9" s="11">
        <f t="shared" si="0"/>
        <v>5</v>
      </c>
      <c r="L9" s="11" t="s">
        <v>116</v>
      </c>
      <c r="M9" s="11">
        <v>32</v>
      </c>
      <c r="N9" s="11" t="s">
        <v>122</v>
      </c>
    </row>
    <row r="10" spans="1:14" ht="374.4" x14ac:dyDescent="0.3">
      <c r="A10" s="21">
        <v>10</v>
      </c>
      <c r="B10" s="21"/>
      <c r="C10" s="21"/>
      <c r="D10" s="21"/>
      <c r="E10" s="21" t="s">
        <v>44</v>
      </c>
      <c r="F10" s="22" t="s">
        <v>80</v>
      </c>
      <c r="G10" s="21" t="s">
        <v>28</v>
      </c>
      <c r="H10" s="21" t="s">
        <v>30</v>
      </c>
      <c r="I10" s="21" cm="1">
        <f t="array" ref="I10">_xlfn.SWITCH(H10,"XS",1,"S",2,"M",3,"L",5,"XL",8,"XXL",13,"XXXL",21,"")</f>
        <v>5</v>
      </c>
      <c r="J10" s="21">
        <f t="shared" si="0"/>
        <v>5</v>
      </c>
      <c r="K10" s="21">
        <f t="shared" si="0"/>
        <v>5</v>
      </c>
      <c r="L10" s="21" t="s">
        <v>116</v>
      </c>
      <c r="M10" s="21"/>
      <c r="N10" s="21" t="s">
        <v>122</v>
      </c>
    </row>
    <row r="11" spans="1:14" ht="28.8" x14ac:dyDescent="0.3">
      <c r="A11" s="21">
        <v>9</v>
      </c>
      <c r="B11" s="21"/>
      <c r="C11" s="21"/>
      <c r="D11" s="21"/>
      <c r="E11" s="21" t="s">
        <v>44</v>
      </c>
      <c r="F11" s="22" t="s">
        <v>55</v>
      </c>
      <c r="G11" s="21" t="s">
        <v>28</v>
      </c>
      <c r="H11" s="21" t="s">
        <v>30</v>
      </c>
      <c r="I11" s="21" cm="1">
        <f t="array" ref="I11">_xlfn.SWITCH(H11,"XS",1,"S",2,"M",3,"L",5,"XL",8,"XXL",13,"XXXL",21,"")</f>
        <v>5</v>
      </c>
      <c r="J11" s="21">
        <f t="shared" si="0"/>
        <v>5</v>
      </c>
      <c r="K11" s="21">
        <f t="shared" si="0"/>
        <v>5</v>
      </c>
      <c r="L11" s="21" t="s">
        <v>116</v>
      </c>
      <c r="M11" s="21"/>
      <c r="N11" s="21" t="s">
        <v>122</v>
      </c>
    </row>
    <row r="12" spans="1:14" x14ac:dyDescent="0.3">
      <c r="A12" s="6">
        <v>12</v>
      </c>
      <c r="B12" s="6" t="s">
        <v>7</v>
      </c>
      <c r="C12" s="6">
        <v>1.1000000000000001</v>
      </c>
      <c r="D12" s="6" t="s">
        <v>8</v>
      </c>
      <c r="E12" s="6" t="s">
        <v>37</v>
      </c>
      <c r="F12" s="7" t="s">
        <v>38</v>
      </c>
      <c r="G12" s="6" t="s">
        <v>43</v>
      </c>
      <c r="H12" s="6" t="s">
        <v>32</v>
      </c>
      <c r="I12" s="6" cm="1">
        <f t="array" ref="I12">_xlfn.SWITCH(H12,"XS",1,"S",2,"M",3,"L",5,"XL",8,"XXL",13,"XXXL",21,"")</f>
        <v>1</v>
      </c>
      <c r="J12" s="6">
        <f t="shared" si="0"/>
        <v>1</v>
      </c>
      <c r="K12" s="54">
        <v>9</v>
      </c>
      <c r="L12" s="6" t="s">
        <v>121</v>
      </c>
      <c r="M12" s="6"/>
      <c r="N12" s="6" t="s">
        <v>9</v>
      </c>
    </row>
    <row r="13" spans="1:14" x14ac:dyDescent="0.3">
      <c r="A13" s="6">
        <v>13</v>
      </c>
      <c r="B13" s="6" t="s">
        <v>7</v>
      </c>
      <c r="C13" s="6">
        <v>1.1000000000000001</v>
      </c>
      <c r="D13" s="6" t="s">
        <v>8</v>
      </c>
      <c r="E13" s="6" t="s">
        <v>37</v>
      </c>
      <c r="F13" s="7" t="s">
        <v>39</v>
      </c>
      <c r="G13" s="6" t="s">
        <v>43</v>
      </c>
      <c r="H13" s="6" t="s">
        <v>32</v>
      </c>
      <c r="I13" s="6" cm="1">
        <f t="array" ref="I13">_xlfn.SWITCH(H13,"XS",1,"S",2,"M",3,"L",5,"XL",8,"XXL",13,"XXXL",21,"")</f>
        <v>1</v>
      </c>
      <c r="J13" s="6">
        <f t="shared" si="0"/>
        <v>1</v>
      </c>
      <c r="K13" s="55"/>
      <c r="L13" s="6" t="s">
        <v>121</v>
      </c>
      <c r="M13" s="6"/>
      <c r="N13" s="6" t="s">
        <v>9</v>
      </c>
    </row>
    <row r="14" spans="1:14" x14ac:dyDescent="0.3">
      <c r="A14" s="6">
        <v>14</v>
      </c>
      <c r="B14" s="6" t="s">
        <v>7</v>
      </c>
      <c r="C14" s="6">
        <v>1.1000000000000001</v>
      </c>
      <c r="D14" s="6" t="s">
        <v>8</v>
      </c>
      <c r="E14" s="6" t="s">
        <v>37</v>
      </c>
      <c r="F14" s="8" t="s">
        <v>40</v>
      </c>
      <c r="G14" s="6" t="s">
        <v>43</v>
      </c>
      <c r="H14" s="6" t="s">
        <v>32</v>
      </c>
      <c r="I14" s="6" cm="1">
        <f t="array" ref="I14">_xlfn.SWITCH(H14,"XS",1,"S",2,"M",3,"L",5,"XL",8,"XXL",13,"XXXL",21,"")</f>
        <v>1</v>
      </c>
      <c r="J14" s="6">
        <f t="shared" si="0"/>
        <v>1</v>
      </c>
      <c r="K14" s="55"/>
      <c r="L14" s="6" t="s">
        <v>121</v>
      </c>
      <c r="M14" s="6"/>
      <c r="N14" s="6" t="s">
        <v>9</v>
      </c>
    </row>
    <row r="15" spans="1:14" x14ac:dyDescent="0.3">
      <c r="A15" s="6">
        <v>15</v>
      </c>
      <c r="B15" s="6" t="s">
        <v>7</v>
      </c>
      <c r="C15" s="6">
        <v>1.1000000000000001</v>
      </c>
      <c r="D15" s="6" t="s">
        <v>8</v>
      </c>
      <c r="E15" s="6" t="s">
        <v>37</v>
      </c>
      <c r="F15" s="8" t="s">
        <v>42</v>
      </c>
      <c r="G15" s="6" t="s">
        <v>43</v>
      </c>
      <c r="H15" s="6" t="s">
        <v>32</v>
      </c>
      <c r="I15" s="6" cm="1">
        <f t="array" ref="I15">_xlfn.SWITCH(H15,"XS",1,"S",2,"M",3,"L",5,"XL",8,"XXL",13,"XXXL",21,"")</f>
        <v>1</v>
      </c>
      <c r="J15" s="6">
        <f t="shared" si="0"/>
        <v>1</v>
      </c>
      <c r="K15" s="55"/>
      <c r="L15" s="6" t="s">
        <v>121</v>
      </c>
      <c r="M15" s="6"/>
      <c r="N15" s="6" t="s">
        <v>9</v>
      </c>
    </row>
    <row r="16" spans="1:14" x14ac:dyDescent="0.3">
      <c r="A16" s="6">
        <v>16</v>
      </c>
      <c r="B16" s="6" t="s">
        <v>7</v>
      </c>
      <c r="C16" s="6">
        <v>1.1000000000000001</v>
      </c>
      <c r="D16" s="6" t="s">
        <v>8</v>
      </c>
      <c r="E16" s="6" t="s">
        <v>37</v>
      </c>
      <c r="F16" s="7" t="s">
        <v>41</v>
      </c>
      <c r="G16" s="6" t="s">
        <v>43</v>
      </c>
      <c r="H16" s="6" t="s">
        <v>32</v>
      </c>
      <c r="I16" s="6" cm="1">
        <f t="array" ref="I16">_xlfn.SWITCH(H16,"XS",1,"S",2,"M",3,"L",5,"XL",8,"XXL",13,"XXXL",21,"")</f>
        <v>1</v>
      </c>
      <c r="J16" s="6">
        <f t="shared" si="0"/>
        <v>1</v>
      </c>
      <c r="K16" s="55"/>
      <c r="L16" s="6" t="s">
        <v>121</v>
      </c>
      <c r="M16" s="6"/>
      <c r="N16" s="6" t="s">
        <v>9</v>
      </c>
    </row>
    <row r="17" spans="1:14" x14ac:dyDescent="0.3">
      <c r="A17" s="6">
        <v>17</v>
      </c>
      <c r="B17" s="6" t="s">
        <v>7</v>
      </c>
      <c r="C17" s="6">
        <v>1.1000000000000001</v>
      </c>
      <c r="D17" s="6" t="s">
        <v>8</v>
      </c>
      <c r="E17" s="6" t="s">
        <v>37</v>
      </c>
      <c r="F17" s="7" t="s">
        <v>74</v>
      </c>
      <c r="G17" s="6" t="s">
        <v>43</v>
      </c>
      <c r="H17" s="6" t="s">
        <v>32</v>
      </c>
      <c r="I17" s="6" cm="1">
        <f t="array" ref="I17">_xlfn.SWITCH(H17,"XS",1,"S",2,"M",3,"L",5,"XL",8,"XXL",13,"XXXL",21,"")</f>
        <v>1</v>
      </c>
      <c r="J17" s="6">
        <f t="shared" si="0"/>
        <v>1</v>
      </c>
      <c r="K17" s="55"/>
      <c r="L17" s="6" t="s">
        <v>121</v>
      </c>
      <c r="M17" s="6"/>
      <c r="N17" s="6" t="s">
        <v>9</v>
      </c>
    </row>
    <row r="18" spans="1:14" ht="100.8" x14ac:dyDescent="0.3">
      <c r="A18" s="9">
        <v>33</v>
      </c>
      <c r="B18" s="9" t="s">
        <v>7</v>
      </c>
      <c r="C18" s="9">
        <v>1.3</v>
      </c>
      <c r="D18" s="9" t="s">
        <v>59</v>
      </c>
      <c r="E18" s="9" t="s">
        <v>44</v>
      </c>
      <c r="F18" s="10" t="s">
        <v>114</v>
      </c>
      <c r="G18" s="9" t="s">
        <v>10</v>
      </c>
      <c r="H18" s="9" t="s">
        <v>25</v>
      </c>
      <c r="I18" s="9" cm="1">
        <f t="array" ref="I18">_xlfn.SWITCH(H18,"XS",1,"S",2,"M",3,"L",5,"XL",8,"XXL",13,"XXXL",21,"")</f>
        <v>3</v>
      </c>
      <c r="J18" s="9">
        <f>I18</f>
        <v>3</v>
      </c>
      <c r="K18" s="55"/>
      <c r="L18" s="9" t="s">
        <v>116</v>
      </c>
      <c r="M18" s="9"/>
      <c r="N18" s="9" t="s">
        <v>122</v>
      </c>
    </row>
    <row r="19" spans="1:14" ht="43.2" x14ac:dyDescent="0.3">
      <c r="A19" s="9">
        <v>18</v>
      </c>
      <c r="B19" s="9" t="s">
        <v>7</v>
      </c>
      <c r="C19" s="9">
        <v>1.1000000000000001</v>
      </c>
      <c r="D19" s="9" t="s">
        <v>8</v>
      </c>
      <c r="E19" s="9" t="s">
        <v>44</v>
      </c>
      <c r="F19" s="10" t="s">
        <v>57</v>
      </c>
      <c r="G19" s="9" t="s">
        <v>10</v>
      </c>
      <c r="H19" s="9" t="s">
        <v>32</v>
      </c>
      <c r="I19" s="9" cm="1">
        <f t="array" ref="I19">_xlfn.SWITCH(H19,"XS",1,"S",2,"M",3,"L",5,"XL",8,"XXL",13,"XXXL",21,"")</f>
        <v>1</v>
      </c>
      <c r="J19" s="9">
        <f t="shared" si="0"/>
        <v>1</v>
      </c>
      <c r="K19" s="55"/>
      <c r="L19" s="9" t="s">
        <v>116</v>
      </c>
      <c r="M19" s="9"/>
      <c r="N19" s="9" t="s">
        <v>122</v>
      </c>
    </row>
    <row r="20" spans="1:14" ht="43.2" x14ac:dyDescent="0.3">
      <c r="A20" s="9">
        <v>19</v>
      </c>
      <c r="B20" s="9" t="s">
        <v>7</v>
      </c>
      <c r="C20" s="9">
        <v>1.1000000000000001</v>
      </c>
      <c r="D20" s="9" t="s">
        <v>8</v>
      </c>
      <c r="E20" s="9" t="s">
        <v>44</v>
      </c>
      <c r="F20" s="10" t="s">
        <v>24</v>
      </c>
      <c r="G20" s="9" t="s">
        <v>10</v>
      </c>
      <c r="H20" s="9" t="s">
        <v>23</v>
      </c>
      <c r="I20" s="9" cm="1">
        <f t="array" ref="I20">_xlfn.SWITCH(H20,"XS",1,"S",2,"M",3,"L",5,"XL",8,"XXL",13,"XXXL",21,"")</f>
        <v>2</v>
      </c>
      <c r="J20" s="9">
        <f t="shared" si="0"/>
        <v>2</v>
      </c>
      <c r="K20" s="56"/>
      <c r="L20" s="9" t="s">
        <v>116</v>
      </c>
      <c r="M20" s="9"/>
      <c r="N20" s="9" t="s">
        <v>122</v>
      </c>
    </row>
    <row r="21" spans="1:14" x14ac:dyDescent="0.3">
      <c r="A21" s="13">
        <v>20</v>
      </c>
      <c r="B21" s="13"/>
      <c r="C21" s="13">
        <v>1.2</v>
      </c>
      <c r="D21" s="13" t="s">
        <v>20</v>
      </c>
      <c r="E21" s="13" t="s">
        <v>37</v>
      </c>
      <c r="F21" s="16" t="s">
        <v>52</v>
      </c>
      <c r="G21" s="13" t="s">
        <v>43</v>
      </c>
      <c r="H21" s="13" t="s">
        <v>32</v>
      </c>
      <c r="I21" s="13" cm="1">
        <f t="array" ref="I21">_xlfn.SWITCH(H21,"XS",1,"S",2,"M",3,"L",5,"XL",8,"XXL",13,"XXXL",21,"")</f>
        <v>1</v>
      </c>
      <c r="J21" s="13">
        <f t="shared" si="0"/>
        <v>1</v>
      </c>
      <c r="K21" s="57">
        <v>18</v>
      </c>
      <c r="L21" s="13" t="s">
        <v>121</v>
      </c>
      <c r="M21" s="13"/>
      <c r="N21" s="13" t="s">
        <v>9</v>
      </c>
    </row>
    <row r="22" spans="1:14" x14ac:dyDescent="0.3">
      <c r="A22" s="13">
        <v>21</v>
      </c>
      <c r="B22" s="13"/>
      <c r="C22" s="13">
        <v>1.2</v>
      </c>
      <c r="D22" s="13" t="s">
        <v>20</v>
      </c>
      <c r="E22" s="13" t="s">
        <v>37</v>
      </c>
      <c r="F22" s="16" t="s">
        <v>45</v>
      </c>
      <c r="G22" s="13" t="s">
        <v>43</v>
      </c>
      <c r="H22" s="13" t="s">
        <v>32</v>
      </c>
      <c r="I22" s="13" cm="1">
        <f t="array" ref="I22">_xlfn.SWITCH(H22,"XS",1,"S",2,"M",3,"L",5,"XL",8,"XXL",13,"XXXL",21,"")</f>
        <v>1</v>
      </c>
      <c r="J22" s="13">
        <f t="shared" si="0"/>
        <v>1</v>
      </c>
      <c r="K22" s="58"/>
      <c r="L22" s="13" t="s">
        <v>121</v>
      </c>
      <c r="M22" s="13"/>
      <c r="N22" s="13" t="s">
        <v>9</v>
      </c>
    </row>
    <row r="23" spans="1:14" x14ac:dyDescent="0.3">
      <c r="A23" s="13">
        <v>22</v>
      </c>
      <c r="B23" s="13"/>
      <c r="C23" s="13">
        <v>1.2</v>
      </c>
      <c r="D23" s="13" t="s">
        <v>20</v>
      </c>
      <c r="E23" s="13" t="s">
        <v>37</v>
      </c>
      <c r="F23" s="16" t="s">
        <v>46</v>
      </c>
      <c r="G23" s="13" t="s">
        <v>43</v>
      </c>
      <c r="H23" s="13" t="s">
        <v>32</v>
      </c>
      <c r="I23" s="13" cm="1">
        <f t="array" ref="I23">_xlfn.SWITCH(H23,"XS",1,"S",2,"M",3,"L",5,"XL",8,"XXL",13,"XXXL",21,"")</f>
        <v>1</v>
      </c>
      <c r="J23" s="13">
        <f t="shared" si="0"/>
        <v>1</v>
      </c>
      <c r="K23" s="58"/>
      <c r="L23" s="13" t="s">
        <v>121</v>
      </c>
      <c r="M23" s="13"/>
      <c r="N23" s="13" t="s">
        <v>9</v>
      </c>
    </row>
    <row r="24" spans="1:14" x14ac:dyDescent="0.3">
      <c r="A24" s="13">
        <v>23</v>
      </c>
      <c r="B24" s="13"/>
      <c r="C24" s="13">
        <v>1.2</v>
      </c>
      <c r="D24" s="13" t="s">
        <v>20</v>
      </c>
      <c r="E24" s="13" t="s">
        <v>37</v>
      </c>
      <c r="F24" s="16" t="s">
        <v>89</v>
      </c>
      <c r="G24" s="13" t="s">
        <v>43</v>
      </c>
      <c r="H24" s="13" t="s">
        <v>32</v>
      </c>
      <c r="I24" s="13" cm="1">
        <f t="array" ref="I24">_xlfn.SWITCH(H24,"XS",1,"S",2,"M",3,"L",5,"XL",8,"XXL",13,"XXXL",21,"")</f>
        <v>1</v>
      </c>
      <c r="J24" s="13">
        <f t="shared" si="0"/>
        <v>1</v>
      </c>
      <c r="K24" s="58"/>
      <c r="L24" s="13" t="s">
        <v>121</v>
      </c>
      <c r="M24" s="13"/>
      <c r="N24" s="13" t="s">
        <v>9</v>
      </c>
    </row>
    <row r="25" spans="1:14" ht="28.8" x14ac:dyDescent="0.3">
      <c r="A25" s="13">
        <v>24</v>
      </c>
      <c r="B25" s="13"/>
      <c r="C25" s="13">
        <v>1.2</v>
      </c>
      <c r="D25" s="13" t="s">
        <v>20</v>
      </c>
      <c r="E25" s="13" t="s">
        <v>37</v>
      </c>
      <c r="F25" s="17" t="s">
        <v>90</v>
      </c>
      <c r="G25" s="13" t="s">
        <v>43</v>
      </c>
      <c r="H25" s="13" t="s">
        <v>32</v>
      </c>
      <c r="I25" s="13" cm="1">
        <f t="array" ref="I25">_xlfn.SWITCH(H25,"XS",1,"S",2,"M",3,"L",5,"XL",8,"XXL",13,"XXXL",21,"")</f>
        <v>1</v>
      </c>
      <c r="J25" s="13">
        <f t="shared" si="0"/>
        <v>1</v>
      </c>
      <c r="K25" s="58"/>
      <c r="L25" s="13" t="s">
        <v>121</v>
      </c>
      <c r="M25" s="13"/>
      <c r="N25" s="13" t="s">
        <v>9</v>
      </c>
    </row>
    <row r="26" spans="1:14" x14ac:dyDescent="0.3">
      <c r="A26" s="13">
        <v>25</v>
      </c>
      <c r="B26" s="13"/>
      <c r="C26" s="13">
        <v>1.2</v>
      </c>
      <c r="D26" s="13" t="s">
        <v>20</v>
      </c>
      <c r="E26" s="13" t="s">
        <v>37</v>
      </c>
      <c r="F26" s="17" t="s">
        <v>69</v>
      </c>
      <c r="G26" s="13" t="s">
        <v>43</v>
      </c>
      <c r="H26" s="13" t="s">
        <v>23</v>
      </c>
      <c r="I26" s="13" cm="1">
        <f t="array" ref="I26">_xlfn.SWITCH(H26,"XS",1,"S",2,"M",3,"L",5,"XL",8,"XXL",13,"XXXL",21,"")</f>
        <v>2</v>
      </c>
      <c r="J26" s="13">
        <f t="shared" si="0"/>
        <v>2</v>
      </c>
      <c r="K26" s="58"/>
      <c r="L26" s="13" t="s">
        <v>121</v>
      </c>
      <c r="M26" s="13"/>
      <c r="N26" s="13" t="s">
        <v>9</v>
      </c>
    </row>
    <row r="27" spans="1:14" x14ac:dyDescent="0.3">
      <c r="A27" s="13">
        <v>26</v>
      </c>
      <c r="B27" s="13"/>
      <c r="C27" s="13">
        <v>1.2</v>
      </c>
      <c r="D27" s="13" t="s">
        <v>20</v>
      </c>
      <c r="E27" s="13" t="s">
        <v>37</v>
      </c>
      <c r="F27" s="17" t="s">
        <v>70</v>
      </c>
      <c r="G27" s="13" t="s">
        <v>43</v>
      </c>
      <c r="H27" s="13" t="s">
        <v>23</v>
      </c>
      <c r="I27" s="13" cm="1">
        <f t="array" ref="I27">_xlfn.SWITCH(H27,"XS",1,"S",2,"M",3,"L",5,"XL",8,"XXL",13,"XXXL",21,"")</f>
        <v>2</v>
      </c>
      <c r="J27" s="13">
        <f t="shared" si="0"/>
        <v>2</v>
      </c>
      <c r="K27" s="58"/>
      <c r="L27" s="13" t="s">
        <v>121</v>
      </c>
      <c r="M27" s="13"/>
      <c r="N27" s="13" t="s">
        <v>9</v>
      </c>
    </row>
    <row r="28" spans="1:14" x14ac:dyDescent="0.3">
      <c r="A28" s="13">
        <v>29</v>
      </c>
      <c r="B28" s="13"/>
      <c r="C28" s="13">
        <v>1.2</v>
      </c>
      <c r="D28" s="13" t="s">
        <v>20</v>
      </c>
      <c r="E28" s="13" t="s">
        <v>37</v>
      </c>
      <c r="F28" s="17" t="s">
        <v>71</v>
      </c>
      <c r="G28" s="13" t="s">
        <v>43</v>
      </c>
      <c r="H28" s="13" t="s">
        <v>23</v>
      </c>
      <c r="I28" s="13" cm="1">
        <f t="array" ref="I28">_xlfn.SWITCH(H28,"XS",1,"S",2,"M",3,"L",5,"XL",8,"XXL",13,"XXXL",21,"")</f>
        <v>2</v>
      </c>
      <c r="J28" s="13">
        <f t="shared" si="0"/>
        <v>2</v>
      </c>
      <c r="K28" s="58"/>
      <c r="L28" s="13" t="s">
        <v>121</v>
      </c>
      <c r="M28" s="13"/>
      <c r="N28" s="13" t="s">
        <v>9</v>
      </c>
    </row>
    <row r="29" spans="1:14" s="18" customFormat="1" ht="72" x14ac:dyDescent="0.3">
      <c r="A29" s="14">
        <v>30</v>
      </c>
      <c r="B29" s="14" t="s">
        <v>7</v>
      </c>
      <c r="C29" s="14">
        <v>1.2</v>
      </c>
      <c r="D29" s="14" t="s">
        <v>20</v>
      </c>
      <c r="E29" s="14" t="s">
        <v>44</v>
      </c>
      <c r="F29" s="15" t="s">
        <v>47</v>
      </c>
      <c r="G29" s="14" t="s">
        <v>10</v>
      </c>
      <c r="H29" s="14" t="s">
        <v>23</v>
      </c>
      <c r="I29" s="14" cm="1">
        <f t="array" ref="I29">_xlfn.SWITCH(H29,"XS",1,"S",2,"M",3,"L",5,"XL",8,"XXL",13,"XXXL",21,"")</f>
        <v>2</v>
      </c>
      <c r="J29" s="14">
        <f t="shared" si="0"/>
        <v>2</v>
      </c>
      <c r="K29" s="58"/>
      <c r="L29" s="14" t="s">
        <v>116</v>
      </c>
      <c r="M29" s="14"/>
      <c r="N29" s="14" t="s">
        <v>122</v>
      </c>
    </row>
    <row r="30" spans="1:14" x14ac:dyDescent="0.3">
      <c r="A30" s="14">
        <v>31</v>
      </c>
      <c r="B30" s="14" t="s">
        <v>7</v>
      </c>
      <c r="C30" s="14">
        <v>1.2</v>
      </c>
      <c r="D30" s="14" t="s">
        <v>20</v>
      </c>
      <c r="E30" s="14" t="s">
        <v>44</v>
      </c>
      <c r="F30" s="15" t="s">
        <v>91</v>
      </c>
      <c r="G30" s="14" t="s">
        <v>10</v>
      </c>
      <c r="H30" s="14" t="s">
        <v>23</v>
      </c>
      <c r="I30" s="14" cm="1">
        <f t="array" ref="I30">_xlfn.SWITCH(H30,"XS",1,"S",2,"M",3,"L",5,"XL",8,"XXL",13,"XXXL",21,"")</f>
        <v>2</v>
      </c>
      <c r="J30" s="14">
        <f t="shared" si="0"/>
        <v>2</v>
      </c>
      <c r="K30" s="58"/>
      <c r="L30" s="14" t="s">
        <v>116</v>
      </c>
      <c r="M30" s="14"/>
      <c r="N30" s="14" t="s">
        <v>122</v>
      </c>
    </row>
    <row r="31" spans="1:14" x14ac:dyDescent="0.3">
      <c r="A31" s="14">
        <v>32</v>
      </c>
      <c r="B31" s="14" t="s">
        <v>7</v>
      </c>
      <c r="C31" s="14">
        <v>1.2</v>
      </c>
      <c r="D31" s="14" t="s">
        <v>20</v>
      </c>
      <c r="E31" s="14" t="s">
        <v>44</v>
      </c>
      <c r="F31" s="15" t="s">
        <v>56</v>
      </c>
      <c r="G31" s="14" t="s">
        <v>10</v>
      </c>
      <c r="H31" s="14" t="s">
        <v>25</v>
      </c>
      <c r="I31" s="14" cm="1">
        <f t="array" ref="I31">_xlfn.SWITCH(H31,"XS",1,"S",2,"M",3,"L",5,"XL",8,"XXL",13,"XXXL",21,"")</f>
        <v>3</v>
      </c>
      <c r="J31" s="14">
        <f t="shared" si="0"/>
        <v>3</v>
      </c>
      <c r="K31" s="59"/>
      <c r="L31" s="14" t="s">
        <v>116</v>
      </c>
      <c r="M31" s="14"/>
      <c r="N31" s="14" t="s">
        <v>122</v>
      </c>
    </row>
    <row r="32" spans="1:14" ht="72" x14ac:dyDescent="0.3">
      <c r="A32" s="23">
        <v>34</v>
      </c>
      <c r="B32" s="23" t="s">
        <v>7</v>
      </c>
      <c r="C32" s="23">
        <v>1.3</v>
      </c>
      <c r="D32" s="23" t="s">
        <v>59</v>
      </c>
      <c r="E32" s="23" t="s">
        <v>37</v>
      </c>
      <c r="F32" s="24" t="s">
        <v>110</v>
      </c>
      <c r="G32" s="23" t="s">
        <v>43</v>
      </c>
      <c r="H32" s="23" t="s">
        <v>32</v>
      </c>
      <c r="I32" s="23" cm="1">
        <f t="array" ref="I32">_xlfn.SWITCH(H32,"XS",1,"S",2,"M",3,"L",5,"XL",8,"XXL",13,"XXXL",21,"")</f>
        <v>1</v>
      </c>
      <c r="J32" s="23">
        <f t="shared" si="0"/>
        <v>1</v>
      </c>
      <c r="K32" s="60">
        <v>14</v>
      </c>
      <c r="L32" s="23" t="s">
        <v>121</v>
      </c>
      <c r="M32" s="23"/>
      <c r="N32" s="23" t="s">
        <v>9</v>
      </c>
    </row>
    <row r="33" spans="1:14" x14ac:dyDescent="0.3">
      <c r="A33" s="23">
        <v>36</v>
      </c>
      <c r="B33" s="23" t="s">
        <v>7</v>
      </c>
      <c r="C33" s="23">
        <v>1.3</v>
      </c>
      <c r="D33" s="23" t="s">
        <v>59</v>
      </c>
      <c r="E33" s="23" t="s">
        <v>37</v>
      </c>
      <c r="F33" s="24" t="s">
        <v>72</v>
      </c>
      <c r="G33" s="23" t="s">
        <v>43</v>
      </c>
      <c r="H33" s="23" t="s">
        <v>23</v>
      </c>
      <c r="I33" s="23" cm="1">
        <f t="array" ref="I33">_xlfn.SWITCH(H33,"XS",1,"S",2,"M",3,"L",5,"XL",8,"XXL",13,"XXXL",21,"")</f>
        <v>2</v>
      </c>
      <c r="J33" s="23">
        <f t="shared" si="0"/>
        <v>2</v>
      </c>
      <c r="K33" s="61"/>
      <c r="L33" s="23" t="s">
        <v>121</v>
      </c>
      <c r="M33" s="23"/>
      <c r="N33" s="23" t="s">
        <v>9</v>
      </c>
    </row>
    <row r="34" spans="1:14" ht="43.2" x14ac:dyDescent="0.3">
      <c r="A34" s="23">
        <v>38</v>
      </c>
      <c r="B34" s="23" t="s">
        <v>7</v>
      </c>
      <c r="C34" s="23">
        <v>1.3</v>
      </c>
      <c r="D34" s="23" t="s">
        <v>59</v>
      </c>
      <c r="E34" s="23" t="s">
        <v>37</v>
      </c>
      <c r="F34" s="24" t="s">
        <v>73</v>
      </c>
      <c r="G34" s="23" t="s">
        <v>43</v>
      </c>
      <c r="H34" s="23" t="s">
        <v>32</v>
      </c>
      <c r="I34" s="23" cm="1">
        <f t="array" ref="I34">_xlfn.SWITCH(H34,"XS",1,"S",2,"M",3,"L",5,"XL",8,"XXL",13,"XXXL",21,"")</f>
        <v>1</v>
      </c>
      <c r="J34" s="23">
        <f t="shared" si="0"/>
        <v>1</v>
      </c>
      <c r="K34" s="61"/>
      <c r="L34" s="23" t="s">
        <v>121</v>
      </c>
      <c r="M34" s="23"/>
      <c r="N34" s="23" t="s">
        <v>9</v>
      </c>
    </row>
    <row r="35" spans="1:14" ht="43.2" x14ac:dyDescent="0.3">
      <c r="A35" s="23">
        <v>39</v>
      </c>
      <c r="B35" s="23" t="s">
        <v>7</v>
      </c>
      <c r="C35" s="23">
        <v>1.3</v>
      </c>
      <c r="D35" s="23" t="s">
        <v>59</v>
      </c>
      <c r="E35" s="23" t="s">
        <v>37</v>
      </c>
      <c r="F35" s="24" t="s">
        <v>75</v>
      </c>
      <c r="G35" s="23" t="s">
        <v>43</v>
      </c>
      <c r="H35" s="23" t="s">
        <v>23</v>
      </c>
      <c r="I35" s="23" cm="1">
        <f t="array" ref="I35">_xlfn.SWITCH(H35,"XS",1,"S",2,"M",3,"L",5,"XL",8,"XXL",13,"XXXL",21,"")</f>
        <v>2</v>
      </c>
      <c r="J35" s="23">
        <f t="shared" si="0"/>
        <v>2</v>
      </c>
      <c r="K35" s="61"/>
      <c r="L35" s="23" t="s">
        <v>121</v>
      </c>
      <c r="M35" s="23"/>
      <c r="N35" s="23" t="s">
        <v>9</v>
      </c>
    </row>
    <row r="36" spans="1:14" ht="72" x14ac:dyDescent="0.3">
      <c r="A36" s="25">
        <v>40</v>
      </c>
      <c r="B36" s="25" t="s">
        <v>7</v>
      </c>
      <c r="C36" s="25">
        <v>1.3</v>
      </c>
      <c r="D36" s="25" t="s">
        <v>59</v>
      </c>
      <c r="E36" s="25" t="s">
        <v>44</v>
      </c>
      <c r="F36" s="26" t="s">
        <v>65</v>
      </c>
      <c r="G36" s="69" t="s">
        <v>10</v>
      </c>
      <c r="H36" s="69" t="s">
        <v>30</v>
      </c>
      <c r="I36" s="69" cm="1">
        <f t="array" ref="I36">_xlfn.SWITCH(H36,"XS",1,"S",2,"M",3,"L",5,"XL",8,"XXL",13,"XXXL",21,"")</f>
        <v>5</v>
      </c>
      <c r="J36" s="69">
        <f t="shared" si="0"/>
        <v>5</v>
      </c>
      <c r="K36" s="61"/>
      <c r="L36" s="25" t="s">
        <v>116</v>
      </c>
      <c r="M36" s="25"/>
      <c r="N36" s="25" t="s">
        <v>122</v>
      </c>
    </row>
    <row r="37" spans="1:14" x14ac:dyDescent="0.3">
      <c r="A37" s="25">
        <v>41</v>
      </c>
      <c r="B37" s="25" t="s">
        <v>7</v>
      </c>
      <c r="C37" s="25">
        <v>1.3</v>
      </c>
      <c r="D37" s="25" t="s">
        <v>59</v>
      </c>
      <c r="E37" s="25" t="s">
        <v>44</v>
      </c>
      <c r="F37" s="26" t="s">
        <v>60</v>
      </c>
      <c r="G37" s="70"/>
      <c r="H37" s="70"/>
      <c r="I37" s="70"/>
      <c r="J37" s="70"/>
      <c r="K37" s="61"/>
      <c r="L37" s="25" t="s">
        <v>116</v>
      </c>
      <c r="M37" s="25"/>
      <c r="N37" s="25" t="s">
        <v>122</v>
      </c>
    </row>
    <row r="38" spans="1:14" ht="28.8" x14ac:dyDescent="0.3">
      <c r="A38" s="25">
        <v>43</v>
      </c>
      <c r="B38" s="25" t="s">
        <v>7</v>
      </c>
      <c r="C38" s="25">
        <v>1.3</v>
      </c>
      <c r="D38" s="25" t="s">
        <v>59</v>
      </c>
      <c r="E38" s="25" t="s">
        <v>44</v>
      </c>
      <c r="F38" s="26" t="s">
        <v>63</v>
      </c>
      <c r="G38" s="70"/>
      <c r="H38" s="70"/>
      <c r="I38" s="70"/>
      <c r="J38" s="70"/>
      <c r="K38" s="61"/>
      <c r="L38" s="25" t="s">
        <v>116</v>
      </c>
      <c r="M38" s="25"/>
      <c r="N38" s="25" t="s">
        <v>122</v>
      </c>
    </row>
    <row r="39" spans="1:14" ht="28.8" x14ac:dyDescent="0.3">
      <c r="A39" s="25">
        <v>44</v>
      </c>
      <c r="B39" s="25" t="s">
        <v>7</v>
      </c>
      <c r="C39" s="25">
        <v>1.3</v>
      </c>
      <c r="D39" s="25" t="s">
        <v>59</v>
      </c>
      <c r="E39" s="25" t="s">
        <v>44</v>
      </c>
      <c r="F39" s="26" t="s">
        <v>61</v>
      </c>
      <c r="G39" s="70"/>
      <c r="H39" s="70"/>
      <c r="I39" s="70"/>
      <c r="J39" s="70"/>
      <c r="K39" s="61"/>
      <c r="L39" s="25" t="s">
        <v>116</v>
      </c>
      <c r="M39" s="25"/>
      <c r="N39" s="25" t="s">
        <v>122</v>
      </c>
    </row>
    <row r="40" spans="1:14" ht="28.8" x14ac:dyDescent="0.3">
      <c r="A40" s="25">
        <v>45</v>
      </c>
      <c r="B40" s="25" t="s">
        <v>7</v>
      </c>
      <c r="C40" s="25">
        <v>1.3</v>
      </c>
      <c r="D40" s="25" t="s">
        <v>59</v>
      </c>
      <c r="E40" s="25" t="s">
        <v>44</v>
      </c>
      <c r="F40" s="26" t="s">
        <v>62</v>
      </c>
      <c r="G40" s="70"/>
      <c r="H40" s="70"/>
      <c r="I40" s="70"/>
      <c r="J40" s="70"/>
      <c r="K40" s="61"/>
      <c r="L40" s="25" t="s">
        <v>116</v>
      </c>
      <c r="M40" s="25"/>
      <c r="N40" s="25" t="s">
        <v>122</v>
      </c>
    </row>
    <row r="41" spans="1:14" x14ac:dyDescent="0.3">
      <c r="A41" s="25">
        <v>46</v>
      </c>
      <c r="B41" s="25" t="s">
        <v>7</v>
      </c>
      <c r="C41" s="25">
        <v>1.3</v>
      </c>
      <c r="D41" s="25" t="s">
        <v>59</v>
      </c>
      <c r="E41" s="25" t="s">
        <v>44</v>
      </c>
      <c r="F41" s="26" t="s">
        <v>66</v>
      </c>
      <c r="G41" s="70"/>
      <c r="H41" s="70"/>
      <c r="I41" s="70"/>
      <c r="J41" s="70"/>
      <c r="K41" s="61"/>
      <c r="L41" s="25" t="s">
        <v>116</v>
      </c>
      <c r="M41" s="25"/>
      <c r="N41" s="25" t="s">
        <v>122</v>
      </c>
    </row>
    <row r="42" spans="1:14" ht="57.6" x14ac:dyDescent="0.3">
      <c r="A42" s="25">
        <v>47</v>
      </c>
      <c r="B42" s="25" t="s">
        <v>7</v>
      </c>
      <c r="C42" s="25">
        <v>1.3</v>
      </c>
      <c r="D42" s="25" t="s">
        <v>59</v>
      </c>
      <c r="E42" s="25" t="s">
        <v>44</v>
      </c>
      <c r="F42" s="26" t="s">
        <v>64</v>
      </c>
      <c r="G42" s="70"/>
      <c r="H42" s="70"/>
      <c r="I42" s="70"/>
      <c r="J42" s="70"/>
      <c r="K42" s="61"/>
      <c r="L42" s="25" t="s">
        <v>116</v>
      </c>
      <c r="M42" s="25"/>
      <c r="N42" s="25" t="s">
        <v>122</v>
      </c>
    </row>
    <row r="43" spans="1:14" ht="43.2" x14ac:dyDescent="0.3">
      <c r="A43" s="25">
        <v>48</v>
      </c>
      <c r="B43" s="25" t="s">
        <v>7</v>
      </c>
      <c r="C43" s="25">
        <v>1.3</v>
      </c>
      <c r="D43" s="25" t="s">
        <v>59</v>
      </c>
      <c r="E43" s="25" t="s">
        <v>44</v>
      </c>
      <c r="F43" s="26" t="s">
        <v>67</v>
      </c>
      <c r="G43" s="71"/>
      <c r="H43" s="71"/>
      <c r="I43" s="71"/>
      <c r="J43" s="71"/>
      <c r="K43" s="62"/>
      <c r="L43" s="25" t="s">
        <v>116</v>
      </c>
      <c r="M43" s="25"/>
      <c r="N43" s="25" t="s">
        <v>122</v>
      </c>
    </row>
    <row r="44" spans="1:14" ht="43.2" x14ac:dyDescent="0.3">
      <c r="A44" s="27">
        <v>49</v>
      </c>
      <c r="B44" s="27"/>
      <c r="C44" s="27">
        <v>1.4</v>
      </c>
      <c r="D44" s="27" t="s">
        <v>68</v>
      </c>
      <c r="E44" s="27" t="s">
        <v>37</v>
      </c>
      <c r="F44" s="28" t="s">
        <v>86</v>
      </c>
      <c r="G44" s="63" t="s">
        <v>43</v>
      </c>
      <c r="H44" s="63" t="s">
        <v>23</v>
      </c>
      <c r="I44" s="63" cm="1">
        <f t="array" ref="I44">_xlfn.SWITCH(H44,"XS",1,"S",2,"M",3,"L",5,"XL",8,"XXL",13,"XXXL",21,"")</f>
        <v>2</v>
      </c>
      <c r="J44" s="63">
        <f t="shared" si="0"/>
        <v>2</v>
      </c>
      <c r="K44" s="63">
        <v>5</v>
      </c>
      <c r="L44" s="27" t="s">
        <v>121</v>
      </c>
      <c r="M44" s="27"/>
      <c r="N44" s="27" t="s">
        <v>9</v>
      </c>
    </row>
    <row r="45" spans="1:14" ht="43.2" x14ac:dyDescent="0.3">
      <c r="A45" s="27">
        <v>50</v>
      </c>
      <c r="B45" s="27"/>
      <c r="C45" s="27">
        <v>1.4</v>
      </c>
      <c r="D45" s="27" t="s">
        <v>68</v>
      </c>
      <c r="E45" s="27" t="s">
        <v>37</v>
      </c>
      <c r="F45" s="28" t="s">
        <v>87</v>
      </c>
      <c r="G45" s="64"/>
      <c r="H45" s="64"/>
      <c r="I45" s="64"/>
      <c r="J45" s="64"/>
      <c r="K45" s="64"/>
      <c r="L45" s="27" t="s">
        <v>121</v>
      </c>
      <c r="M45" s="27"/>
      <c r="N45" s="27" t="s">
        <v>9</v>
      </c>
    </row>
    <row r="46" spans="1:14" ht="28.8" x14ac:dyDescent="0.3">
      <c r="A46" s="27">
        <v>51</v>
      </c>
      <c r="B46" s="27"/>
      <c r="C46" s="27">
        <v>1.4</v>
      </c>
      <c r="D46" s="27" t="s">
        <v>68</v>
      </c>
      <c r="E46" s="27" t="s">
        <v>37</v>
      </c>
      <c r="F46" s="28" t="s">
        <v>77</v>
      </c>
      <c r="G46" s="64"/>
      <c r="H46" s="64"/>
      <c r="I46" s="64"/>
      <c r="J46" s="64"/>
      <c r="K46" s="64"/>
      <c r="L46" s="27" t="s">
        <v>121</v>
      </c>
      <c r="M46" s="27"/>
      <c r="N46" s="27" t="s">
        <v>9</v>
      </c>
    </row>
    <row r="47" spans="1:14" ht="43.2" x14ac:dyDescent="0.3">
      <c r="A47" s="27">
        <v>52</v>
      </c>
      <c r="B47" s="27"/>
      <c r="C47" s="27">
        <v>1.4</v>
      </c>
      <c r="D47" s="27" t="s">
        <v>68</v>
      </c>
      <c r="E47" s="27" t="s">
        <v>37</v>
      </c>
      <c r="F47" s="28" t="s">
        <v>78</v>
      </c>
      <c r="G47" s="65"/>
      <c r="H47" s="65"/>
      <c r="I47" s="65"/>
      <c r="J47" s="65"/>
      <c r="K47" s="64"/>
      <c r="L47" s="27" t="s">
        <v>121</v>
      </c>
      <c r="M47" s="27"/>
      <c r="N47" s="27" t="s">
        <v>9</v>
      </c>
    </row>
    <row r="48" spans="1:14" ht="72" x14ac:dyDescent="0.3">
      <c r="A48" s="29">
        <v>53</v>
      </c>
      <c r="B48" s="29"/>
      <c r="C48" s="29">
        <v>1.4</v>
      </c>
      <c r="D48" s="29" t="s">
        <v>68</v>
      </c>
      <c r="E48" s="29" t="s">
        <v>44</v>
      </c>
      <c r="F48" s="30" t="s">
        <v>92</v>
      </c>
      <c r="G48" s="72" t="s">
        <v>10</v>
      </c>
      <c r="H48" s="72" t="s">
        <v>25</v>
      </c>
      <c r="I48" s="72" cm="1">
        <f t="array" ref="I48">_xlfn.SWITCH(H48,"XS",1,"S",2,"M",3,"L",5,"XL",8,"XXL",13,"XXXL",21,"")</f>
        <v>3</v>
      </c>
      <c r="J48" s="72">
        <f t="shared" si="0"/>
        <v>3</v>
      </c>
      <c r="K48" s="64"/>
      <c r="L48" s="29" t="s">
        <v>116</v>
      </c>
      <c r="M48" s="29"/>
      <c r="N48" s="29" t="s">
        <v>122</v>
      </c>
    </row>
    <row r="49" spans="1:14" ht="72" x14ac:dyDescent="0.3">
      <c r="A49" s="29">
        <v>54</v>
      </c>
      <c r="B49" s="29"/>
      <c r="C49" s="29">
        <v>1.4</v>
      </c>
      <c r="D49" s="29" t="s">
        <v>68</v>
      </c>
      <c r="E49" s="29" t="s">
        <v>44</v>
      </c>
      <c r="F49" s="30" t="s">
        <v>93</v>
      </c>
      <c r="G49" s="73"/>
      <c r="H49" s="73"/>
      <c r="I49" s="73"/>
      <c r="J49" s="73"/>
      <c r="K49" s="64"/>
      <c r="L49" s="29" t="s">
        <v>116</v>
      </c>
      <c r="M49" s="29"/>
      <c r="N49" s="29" t="s">
        <v>122</v>
      </c>
    </row>
    <row r="50" spans="1:14" ht="28.8" x14ac:dyDescent="0.3">
      <c r="A50" s="29">
        <v>55</v>
      </c>
      <c r="B50" s="29"/>
      <c r="C50" s="29">
        <v>1.4</v>
      </c>
      <c r="D50" s="29" t="s">
        <v>68</v>
      </c>
      <c r="E50" s="29" t="s">
        <v>44</v>
      </c>
      <c r="F50" s="30" t="s">
        <v>76</v>
      </c>
      <c r="G50" s="73"/>
      <c r="H50" s="73"/>
      <c r="I50" s="73"/>
      <c r="J50" s="73"/>
      <c r="K50" s="64"/>
      <c r="L50" s="29" t="s">
        <v>116</v>
      </c>
      <c r="M50" s="29"/>
      <c r="N50" s="29" t="s">
        <v>122</v>
      </c>
    </row>
    <row r="51" spans="1:14" ht="43.2" x14ac:dyDescent="0.3">
      <c r="A51" s="29">
        <v>56</v>
      </c>
      <c r="B51" s="29" t="s">
        <v>7</v>
      </c>
      <c r="C51" s="29">
        <v>1.4</v>
      </c>
      <c r="D51" s="29" t="s">
        <v>68</v>
      </c>
      <c r="E51" s="29" t="s">
        <v>44</v>
      </c>
      <c r="F51" s="31" t="s">
        <v>81</v>
      </c>
      <c r="G51" s="74"/>
      <c r="H51" s="74"/>
      <c r="I51" s="74"/>
      <c r="J51" s="74"/>
      <c r="K51" s="65"/>
      <c r="L51" s="29" t="s">
        <v>116</v>
      </c>
      <c r="M51" s="29"/>
      <c r="N51" s="29" t="s">
        <v>122</v>
      </c>
    </row>
    <row r="52" spans="1:14" ht="43.2" x14ac:dyDescent="0.3">
      <c r="A52" s="34">
        <v>57</v>
      </c>
      <c r="B52" s="34"/>
      <c r="C52" s="34">
        <v>1.5</v>
      </c>
      <c r="D52" s="34" t="s">
        <v>79</v>
      </c>
      <c r="E52" s="34" t="s">
        <v>37</v>
      </c>
      <c r="F52" s="35" t="s">
        <v>84</v>
      </c>
      <c r="G52" s="66" t="s">
        <v>43</v>
      </c>
      <c r="H52" s="66" t="s">
        <v>25</v>
      </c>
      <c r="I52" s="66" cm="1">
        <f t="array" ref="I52">_xlfn.SWITCH(H52,"XS",1,"S",2,"M",3,"L",5,"XL",8,"XXL",13,"XXXL",21,"")</f>
        <v>3</v>
      </c>
      <c r="J52" s="66">
        <f t="shared" si="0"/>
        <v>3</v>
      </c>
      <c r="K52" s="66">
        <v>11</v>
      </c>
      <c r="L52" s="34" t="s">
        <v>121</v>
      </c>
      <c r="M52" s="34"/>
      <c r="N52" s="34" t="s">
        <v>9</v>
      </c>
    </row>
    <row r="53" spans="1:14" x14ac:dyDescent="0.3">
      <c r="A53" s="34">
        <v>58</v>
      </c>
      <c r="B53" s="34"/>
      <c r="C53" s="34">
        <v>1.5</v>
      </c>
      <c r="D53" s="34" t="s">
        <v>79</v>
      </c>
      <c r="E53" s="34" t="s">
        <v>37</v>
      </c>
      <c r="F53" s="35" t="s">
        <v>85</v>
      </c>
      <c r="G53" s="67"/>
      <c r="H53" s="67"/>
      <c r="I53" s="67"/>
      <c r="J53" s="67"/>
      <c r="K53" s="67"/>
      <c r="L53" s="34" t="s">
        <v>121</v>
      </c>
      <c r="M53" s="34"/>
      <c r="N53" s="34" t="s">
        <v>9</v>
      </c>
    </row>
    <row r="54" spans="1:14" ht="43.2" x14ac:dyDescent="0.3">
      <c r="A54" s="34">
        <v>59</v>
      </c>
      <c r="B54" s="34"/>
      <c r="C54" s="34">
        <v>1.5</v>
      </c>
      <c r="D54" s="34" t="s">
        <v>79</v>
      </c>
      <c r="E54" s="34" t="s">
        <v>37</v>
      </c>
      <c r="F54" s="35" t="s">
        <v>94</v>
      </c>
      <c r="G54" s="67"/>
      <c r="H54" s="67"/>
      <c r="I54" s="67"/>
      <c r="J54" s="67"/>
      <c r="K54" s="67"/>
      <c r="L54" s="34" t="s">
        <v>121</v>
      </c>
      <c r="M54" s="34"/>
      <c r="N54" s="34" t="s">
        <v>9</v>
      </c>
    </row>
    <row r="55" spans="1:14" ht="100.8" x14ac:dyDescent="0.3">
      <c r="A55" s="34">
        <v>60</v>
      </c>
      <c r="B55" s="34"/>
      <c r="C55" s="34">
        <v>1.5</v>
      </c>
      <c r="D55" s="34" t="s">
        <v>79</v>
      </c>
      <c r="E55" s="34" t="s">
        <v>37</v>
      </c>
      <c r="F55" s="35" t="s">
        <v>95</v>
      </c>
      <c r="G55" s="68"/>
      <c r="H55" s="68"/>
      <c r="I55" s="68"/>
      <c r="J55" s="68"/>
      <c r="K55" s="67"/>
      <c r="L55" s="34" t="s">
        <v>121</v>
      </c>
      <c r="M55" s="34"/>
      <c r="N55" s="34" t="s">
        <v>9</v>
      </c>
    </row>
    <row r="56" spans="1:14" ht="72" x14ac:dyDescent="0.3">
      <c r="A56" s="32">
        <v>61</v>
      </c>
      <c r="B56" s="32" t="s">
        <v>7</v>
      </c>
      <c r="C56" s="32">
        <v>1.5</v>
      </c>
      <c r="D56" s="32" t="s">
        <v>79</v>
      </c>
      <c r="E56" s="32" t="s">
        <v>44</v>
      </c>
      <c r="F56" s="33" t="s">
        <v>83</v>
      </c>
      <c r="G56" s="32" t="s">
        <v>10</v>
      </c>
      <c r="H56" s="32" t="s">
        <v>25</v>
      </c>
      <c r="I56" s="32" cm="1">
        <f t="array" ref="I56">_xlfn.SWITCH(H56,"XS",1,"S",2,"M",3,"L",5,"XL",8,"XXL",13,"XXXL",21,"")</f>
        <v>3</v>
      </c>
      <c r="J56" s="32">
        <f t="shared" si="0"/>
        <v>3</v>
      </c>
      <c r="K56" s="67"/>
      <c r="L56" s="32" t="s">
        <v>116</v>
      </c>
      <c r="M56" s="32"/>
      <c r="N56" s="32" t="s">
        <v>122</v>
      </c>
    </row>
    <row r="57" spans="1:14" ht="28.8" x14ac:dyDescent="0.3">
      <c r="A57" s="32">
        <v>62</v>
      </c>
      <c r="B57" s="32" t="s">
        <v>7</v>
      </c>
      <c r="C57" s="32">
        <v>1.5</v>
      </c>
      <c r="D57" s="32" t="s">
        <v>79</v>
      </c>
      <c r="E57" s="32" t="s">
        <v>44</v>
      </c>
      <c r="F57" s="33" t="s">
        <v>96</v>
      </c>
      <c r="G57" s="32" t="s">
        <v>10</v>
      </c>
      <c r="H57" s="32" t="s">
        <v>25</v>
      </c>
      <c r="I57" s="32" cm="1">
        <f t="array" ref="I57">_xlfn.SWITCH(H57,"XS",1,"S",2,"M",3,"L",5,"XL",8,"XXL",13,"XXXL",21,"")</f>
        <v>3</v>
      </c>
      <c r="J57" s="32">
        <f t="shared" si="0"/>
        <v>3</v>
      </c>
      <c r="K57" s="67"/>
      <c r="L57" s="32" t="s">
        <v>116</v>
      </c>
      <c r="M57" s="32"/>
      <c r="N57" s="32" t="s">
        <v>122</v>
      </c>
    </row>
    <row r="58" spans="1:14" ht="28.8" x14ac:dyDescent="0.3">
      <c r="A58" s="32">
        <v>63</v>
      </c>
      <c r="B58" s="32" t="s">
        <v>7</v>
      </c>
      <c r="C58" s="32">
        <v>1.5</v>
      </c>
      <c r="D58" s="32" t="s">
        <v>79</v>
      </c>
      <c r="E58" s="32" t="s">
        <v>44</v>
      </c>
      <c r="F58" s="33" t="s">
        <v>82</v>
      </c>
      <c r="G58" s="32" t="s">
        <v>10</v>
      </c>
      <c r="H58" s="32" t="s">
        <v>23</v>
      </c>
      <c r="I58" s="32" cm="1">
        <f t="array" ref="I58">_xlfn.SWITCH(H58,"XS",1,"S",2,"M",3,"L",5,"XL",8,"XXL",13,"XXXL",21,"")</f>
        <v>2</v>
      </c>
      <c r="J58" s="32">
        <f t="shared" si="0"/>
        <v>2</v>
      </c>
      <c r="K58" s="68"/>
      <c r="L58" s="32" t="s">
        <v>116</v>
      </c>
      <c r="M58" s="32"/>
      <c r="N58" s="32" t="s">
        <v>122</v>
      </c>
    </row>
    <row r="59" spans="1:14" s="18" customFormat="1" ht="129.6" x14ac:dyDescent="0.3">
      <c r="A59" s="36">
        <v>64</v>
      </c>
      <c r="B59" s="36" t="s">
        <v>7</v>
      </c>
      <c r="C59" s="36">
        <v>1.6</v>
      </c>
      <c r="D59" s="36" t="s">
        <v>53</v>
      </c>
      <c r="E59" s="36" t="s">
        <v>37</v>
      </c>
      <c r="F59" s="37" t="s">
        <v>107</v>
      </c>
      <c r="G59" s="36" t="s">
        <v>43</v>
      </c>
      <c r="H59" s="36" t="s">
        <v>32</v>
      </c>
      <c r="I59" s="36" cm="1">
        <f t="array" ref="I59">_xlfn.SWITCH(H59,"XS",1,"S",2,"M",3,"L",5,"XL",8,"XXL",13,"XXXL",21,"")</f>
        <v>1</v>
      </c>
      <c r="J59" s="36">
        <f t="shared" si="0"/>
        <v>1</v>
      </c>
      <c r="K59" s="48">
        <v>27</v>
      </c>
      <c r="L59" s="36" t="s">
        <v>121</v>
      </c>
      <c r="M59" s="36"/>
      <c r="N59" s="36" t="s">
        <v>9</v>
      </c>
    </row>
    <row r="60" spans="1:14" s="18" customFormat="1" ht="43.2" x14ac:dyDescent="0.3">
      <c r="A60" s="36">
        <v>65</v>
      </c>
      <c r="B60" s="36" t="s">
        <v>7</v>
      </c>
      <c r="C60" s="36">
        <v>1.6</v>
      </c>
      <c r="D60" s="36" t="s">
        <v>53</v>
      </c>
      <c r="E60" s="36" t="s">
        <v>37</v>
      </c>
      <c r="F60" s="37" t="s">
        <v>106</v>
      </c>
      <c r="G60" s="36" t="s">
        <v>43</v>
      </c>
      <c r="H60" s="36" t="s">
        <v>32</v>
      </c>
      <c r="I60" s="36" cm="1">
        <f t="array" ref="I60">_xlfn.SWITCH(H60,"XS",1,"S",2,"M",3,"L",5,"XL",8,"XXL",13,"XXXL",21,"")</f>
        <v>1</v>
      </c>
      <c r="J60" s="36">
        <f t="shared" si="0"/>
        <v>1</v>
      </c>
      <c r="K60" s="49"/>
      <c r="L60" s="36" t="s">
        <v>121</v>
      </c>
      <c r="M60" s="36"/>
      <c r="N60" s="36" t="s">
        <v>9</v>
      </c>
    </row>
    <row r="61" spans="1:14" s="18" customFormat="1" ht="57.6" x14ac:dyDescent="0.3">
      <c r="A61" s="36">
        <v>66</v>
      </c>
      <c r="B61" s="36" t="s">
        <v>7</v>
      </c>
      <c r="C61" s="36">
        <v>1.6</v>
      </c>
      <c r="D61" s="36" t="s">
        <v>53</v>
      </c>
      <c r="E61" s="36" t="s">
        <v>37</v>
      </c>
      <c r="F61" s="37" t="s">
        <v>111</v>
      </c>
      <c r="G61" s="36" t="s">
        <v>43</v>
      </c>
      <c r="H61" s="36" t="s">
        <v>32</v>
      </c>
      <c r="I61" s="36" cm="1">
        <f t="array" ref="I61">_xlfn.SWITCH(H61,"XS",1,"S",2,"M",3,"L",5,"XL",8,"XXL",13,"XXXL",21,"")</f>
        <v>1</v>
      </c>
      <c r="J61" s="36">
        <f t="shared" si="0"/>
        <v>1</v>
      </c>
      <c r="K61" s="49"/>
      <c r="L61" s="36" t="s">
        <v>121</v>
      </c>
      <c r="M61" s="36"/>
      <c r="N61" s="36" t="s">
        <v>9</v>
      </c>
    </row>
    <row r="62" spans="1:14" ht="86.4" x14ac:dyDescent="0.3">
      <c r="A62" s="39">
        <v>68</v>
      </c>
      <c r="B62" s="39" t="s">
        <v>7</v>
      </c>
      <c r="C62" s="39">
        <v>1.6</v>
      </c>
      <c r="D62" s="39" t="s">
        <v>53</v>
      </c>
      <c r="E62" s="39" t="s">
        <v>44</v>
      </c>
      <c r="F62" s="40" t="s">
        <v>97</v>
      </c>
      <c r="G62" s="39" t="s">
        <v>10</v>
      </c>
      <c r="H62" s="39" t="s">
        <v>25</v>
      </c>
      <c r="I62" s="39" cm="1">
        <f t="array" ref="I62">_xlfn.SWITCH(H62,"XS",1,"S",2,"M",3,"L",5,"XL",8,"XXL",13,"XXXL",21,"")</f>
        <v>3</v>
      </c>
      <c r="J62" s="39">
        <f t="shared" si="0"/>
        <v>3</v>
      </c>
      <c r="K62" s="49"/>
      <c r="L62" s="39" t="s">
        <v>116</v>
      </c>
      <c r="M62" s="39"/>
      <c r="N62" s="39" t="s">
        <v>122</v>
      </c>
    </row>
    <row r="63" spans="1:14" ht="43.2" x14ac:dyDescent="0.3">
      <c r="A63" s="39">
        <v>69</v>
      </c>
      <c r="B63" s="39" t="s">
        <v>7</v>
      </c>
      <c r="C63" s="39">
        <v>1.6</v>
      </c>
      <c r="D63" s="39" t="s">
        <v>53</v>
      </c>
      <c r="E63" s="39" t="s">
        <v>44</v>
      </c>
      <c r="F63" s="40" t="s">
        <v>98</v>
      </c>
      <c r="G63" s="39" t="s">
        <v>28</v>
      </c>
      <c r="H63" s="39" t="s">
        <v>25</v>
      </c>
      <c r="I63" s="39" cm="1">
        <f t="array" ref="I63">_xlfn.SWITCH(H63,"XS",1,"S",2,"M",3,"L",5,"XL",8,"XXL",13,"XXXL",21,"")</f>
        <v>3</v>
      </c>
      <c r="J63" s="39">
        <f t="shared" si="0"/>
        <v>3</v>
      </c>
      <c r="K63" s="49"/>
      <c r="L63" s="39" t="s">
        <v>116</v>
      </c>
      <c r="M63" s="39"/>
      <c r="N63" s="39" t="s">
        <v>122</v>
      </c>
    </row>
    <row r="64" spans="1:14" x14ac:dyDescent="0.3">
      <c r="A64" s="39">
        <v>70</v>
      </c>
      <c r="B64" s="39" t="s">
        <v>7</v>
      </c>
      <c r="C64" s="39">
        <v>1.6</v>
      </c>
      <c r="D64" s="39" t="s">
        <v>53</v>
      </c>
      <c r="E64" s="39" t="s">
        <v>44</v>
      </c>
      <c r="F64" s="40" t="s">
        <v>22</v>
      </c>
      <c r="G64" s="39" t="s">
        <v>10</v>
      </c>
      <c r="H64" s="39" t="s">
        <v>32</v>
      </c>
      <c r="I64" s="39" cm="1">
        <f t="array" ref="I64">_xlfn.SWITCH(H64,"XS",1,"S",2,"M",3,"L",5,"XL",8,"XXL",13,"XXXL",21,"")</f>
        <v>1</v>
      </c>
      <c r="J64" s="39">
        <f t="shared" si="0"/>
        <v>1</v>
      </c>
      <c r="K64" s="49"/>
      <c r="L64" s="39" t="s">
        <v>17</v>
      </c>
      <c r="M64" s="39"/>
      <c r="N64" s="39" t="s">
        <v>9</v>
      </c>
    </row>
    <row r="65" spans="1:14" ht="57.6" x14ac:dyDescent="0.3">
      <c r="A65" s="39">
        <v>71</v>
      </c>
      <c r="B65" s="39" t="s">
        <v>7</v>
      </c>
      <c r="C65" s="39">
        <v>1.6</v>
      </c>
      <c r="D65" s="39" t="s">
        <v>53</v>
      </c>
      <c r="E65" s="39" t="s">
        <v>44</v>
      </c>
      <c r="F65" s="40" t="s">
        <v>99</v>
      </c>
      <c r="G65" s="39" t="s">
        <v>10</v>
      </c>
      <c r="H65" s="39" t="s">
        <v>23</v>
      </c>
      <c r="I65" s="39" cm="1">
        <f t="array" ref="I65">_xlfn.SWITCH(H65,"XS",1,"S",2,"M",3,"L",5,"XL",8,"XXL",13,"XXXL",21,"")</f>
        <v>2</v>
      </c>
      <c r="J65" s="39">
        <f t="shared" ref="J65:J81" si="1">I65</f>
        <v>2</v>
      </c>
      <c r="K65" s="49"/>
      <c r="L65" s="39" t="s">
        <v>116</v>
      </c>
      <c r="M65" s="39"/>
      <c r="N65" s="39" t="s">
        <v>122</v>
      </c>
    </row>
    <row r="66" spans="1:14" ht="43.2" x14ac:dyDescent="0.3">
      <c r="A66" s="39">
        <v>76</v>
      </c>
      <c r="B66" s="39" t="s">
        <v>7</v>
      </c>
      <c r="C66" s="39">
        <v>1.6</v>
      </c>
      <c r="D66" s="39" t="s">
        <v>53</v>
      </c>
      <c r="E66" s="39" t="s">
        <v>44</v>
      </c>
      <c r="F66" s="40" t="s">
        <v>54</v>
      </c>
      <c r="G66" s="39" t="s">
        <v>10</v>
      </c>
      <c r="H66" s="39" t="s">
        <v>30</v>
      </c>
      <c r="I66" s="39" cm="1">
        <f t="array" ref="I66">_xlfn.SWITCH(H66,"XS",1,"S",2,"M",3,"L",5,"XL",8,"XXL",13,"XXXL",21,"")</f>
        <v>5</v>
      </c>
      <c r="J66" s="39">
        <f t="shared" si="1"/>
        <v>5</v>
      </c>
      <c r="K66" s="49"/>
      <c r="L66" s="39" t="s">
        <v>116</v>
      </c>
      <c r="M66" s="39"/>
      <c r="N66" s="39" t="s">
        <v>122</v>
      </c>
    </row>
    <row r="67" spans="1:14" ht="43.2" x14ac:dyDescent="0.3">
      <c r="A67" s="39">
        <v>77</v>
      </c>
      <c r="B67" s="39" t="s">
        <v>7</v>
      </c>
      <c r="C67" s="39">
        <v>1.6</v>
      </c>
      <c r="D67" s="39" t="s">
        <v>53</v>
      </c>
      <c r="E67" s="39" t="s">
        <v>44</v>
      </c>
      <c r="F67" s="40" t="s">
        <v>102</v>
      </c>
      <c r="G67" s="39" t="s">
        <v>10</v>
      </c>
      <c r="H67" s="39" t="s">
        <v>25</v>
      </c>
      <c r="I67" s="39" cm="1">
        <f t="array" ref="I67">_xlfn.SWITCH(H67,"XS",1,"S",2,"M",3,"L",5,"XL",8,"XXL",13,"XXXL",21,"")</f>
        <v>3</v>
      </c>
      <c r="J67" s="39">
        <f t="shared" si="1"/>
        <v>3</v>
      </c>
      <c r="K67" s="49"/>
      <c r="L67" s="39" t="s">
        <v>116</v>
      </c>
      <c r="M67" s="39"/>
      <c r="N67" s="39" t="s">
        <v>122</v>
      </c>
    </row>
    <row r="68" spans="1:14" ht="28.8" x14ac:dyDescent="0.3">
      <c r="A68" s="39">
        <v>78</v>
      </c>
      <c r="B68" s="39" t="s">
        <v>7</v>
      </c>
      <c r="C68" s="39">
        <v>1.6</v>
      </c>
      <c r="D68" s="39" t="s">
        <v>53</v>
      </c>
      <c r="E68" s="39" t="s">
        <v>44</v>
      </c>
      <c r="F68" s="40" t="s">
        <v>112</v>
      </c>
      <c r="G68" s="39" t="s">
        <v>10</v>
      </c>
      <c r="H68" s="39" t="s">
        <v>32</v>
      </c>
      <c r="I68" s="39" cm="1">
        <f t="array" ref="I68">_xlfn.SWITCH(H68,"XS",1,"S",2,"M",3,"L",5,"XL",8,"XXL",13,"XXXL",21,"")</f>
        <v>1</v>
      </c>
      <c r="J68" s="39">
        <f t="shared" si="1"/>
        <v>1</v>
      </c>
      <c r="K68" s="49"/>
      <c r="L68" s="39" t="s">
        <v>116</v>
      </c>
      <c r="M68" s="39"/>
      <c r="N68" s="39" t="s">
        <v>122</v>
      </c>
    </row>
    <row r="69" spans="1:14" ht="28.8" x14ac:dyDescent="0.3">
      <c r="A69" s="39">
        <v>79</v>
      </c>
      <c r="B69" s="39" t="s">
        <v>7</v>
      </c>
      <c r="C69" s="39">
        <v>1.6</v>
      </c>
      <c r="D69" s="39" t="s">
        <v>53</v>
      </c>
      <c r="E69" s="39" t="s">
        <v>44</v>
      </c>
      <c r="F69" s="40" t="s">
        <v>103</v>
      </c>
      <c r="G69" s="39" t="s">
        <v>10</v>
      </c>
      <c r="H69" s="39" t="s">
        <v>32</v>
      </c>
      <c r="I69" s="39" cm="1">
        <f t="array" ref="I69">_xlfn.SWITCH(H69,"XS",1,"S",2,"M",3,"L",5,"XL",8,"XXL",13,"XXXL",21,"")</f>
        <v>1</v>
      </c>
      <c r="J69" s="39">
        <f t="shared" si="1"/>
        <v>1</v>
      </c>
      <c r="K69" s="49"/>
      <c r="L69" s="39" t="s">
        <v>116</v>
      </c>
      <c r="M69" s="39"/>
      <c r="N69" s="39" t="s">
        <v>122</v>
      </c>
    </row>
    <row r="70" spans="1:14" ht="57.6" x14ac:dyDescent="0.3">
      <c r="A70" s="39">
        <v>80</v>
      </c>
      <c r="B70" s="39" t="s">
        <v>7</v>
      </c>
      <c r="C70" s="39">
        <v>1.6</v>
      </c>
      <c r="D70" s="39" t="s">
        <v>53</v>
      </c>
      <c r="E70" s="39" t="s">
        <v>44</v>
      </c>
      <c r="F70" s="40" t="s">
        <v>104</v>
      </c>
      <c r="G70" s="39" t="s">
        <v>10</v>
      </c>
      <c r="H70" s="39" t="s">
        <v>25</v>
      </c>
      <c r="I70" s="39" cm="1">
        <f t="array" ref="I70">_xlfn.SWITCH(H70,"XS",1,"S",2,"M",3,"L",5,"XL",8,"XXL",13,"XXXL",21,"")</f>
        <v>3</v>
      </c>
      <c r="J70" s="39">
        <f t="shared" si="1"/>
        <v>3</v>
      </c>
      <c r="K70" s="49"/>
      <c r="L70" s="39" t="s">
        <v>116</v>
      </c>
      <c r="M70" s="39"/>
      <c r="N70" s="39" t="s">
        <v>122</v>
      </c>
    </row>
    <row r="71" spans="1:14" ht="57.6" x14ac:dyDescent="0.3">
      <c r="A71" s="39">
        <v>81</v>
      </c>
      <c r="B71" s="39" t="s">
        <v>7</v>
      </c>
      <c r="C71" s="39">
        <v>1.6</v>
      </c>
      <c r="D71" s="39" t="s">
        <v>53</v>
      </c>
      <c r="E71" s="39" t="s">
        <v>44</v>
      </c>
      <c r="F71" s="40" t="s">
        <v>105</v>
      </c>
      <c r="G71" s="39" t="s">
        <v>10</v>
      </c>
      <c r="H71" s="39" t="s">
        <v>23</v>
      </c>
      <c r="I71" s="39" cm="1">
        <f t="array" ref="I71">_xlfn.SWITCH(H71,"XS",1,"S",2,"M",3,"L",5,"XL",8,"XXL",13,"XXXL",21,"")</f>
        <v>2</v>
      </c>
      <c r="J71" s="39">
        <f t="shared" si="1"/>
        <v>2</v>
      </c>
      <c r="K71" s="50"/>
      <c r="L71" s="39" t="s">
        <v>116</v>
      </c>
      <c r="M71" s="39"/>
      <c r="N71" s="39" t="s">
        <v>122</v>
      </c>
    </row>
    <row r="72" spans="1:14" s="18" customFormat="1" ht="57.6" x14ac:dyDescent="0.3">
      <c r="A72" s="36">
        <v>67</v>
      </c>
      <c r="B72" s="36" t="s">
        <v>7</v>
      </c>
      <c r="C72" s="43">
        <v>1.7</v>
      </c>
      <c r="D72" s="43" t="s">
        <v>115</v>
      </c>
      <c r="E72" s="43" t="s">
        <v>37</v>
      </c>
      <c r="F72" s="44" t="s">
        <v>113</v>
      </c>
      <c r="G72" s="43" t="s">
        <v>43</v>
      </c>
      <c r="H72" s="43" t="s">
        <v>32</v>
      </c>
      <c r="I72" s="43" cm="1">
        <f t="array" ref="I72">_xlfn.SWITCH(H72,"XS",1,"S",2,"M",3,"L",5,"XL",8,"XXL",13,"XXXL",21,"")</f>
        <v>1</v>
      </c>
      <c r="J72" s="43">
        <f>I72</f>
        <v>1</v>
      </c>
      <c r="K72" s="51">
        <v>27</v>
      </c>
      <c r="L72" s="43" t="s">
        <v>121</v>
      </c>
      <c r="M72" s="43"/>
      <c r="N72" s="43" t="s">
        <v>9</v>
      </c>
    </row>
    <row r="73" spans="1:14" ht="100.8" x14ac:dyDescent="0.3">
      <c r="A73" s="39">
        <v>72</v>
      </c>
      <c r="B73" s="39" t="s">
        <v>7</v>
      </c>
      <c r="C73" s="41">
        <v>1.7</v>
      </c>
      <c r="D73" s="41" t="s">
        <v>115</v>
      </c>
      <c r="E73" s="41" t="s">
        <v>44</v>
      </c>
      <c r="F73" s="42" t="s">
        <v>108</v>
      </c>
      <c r="G73" s="41" t="s">
        <v>10</v>
      </c>
      <c r="H73" s="41" t="s">
        <v>26</v>
      </c>
      <c r="I73" s="41" cm="1">
        <f t="array" ref="I73">_xlfn.SWITCH(H73,"XS",1,"S",2,"M",3,"L",5,"XL",8,"XXL",13,"XXXL",21,"")</f>
        <v>8</v>
      </c>
      <c r="J73" s="41">
        <f>I73</f>
        <v>8</v>
      </c>
      <c r="K73" s="52"/>
      <c r="L73" s="41" t="s">
        <v>116</v>
      </c>
      <c r="M73" s="41"/>
      <c r="N73" s="41" t="s">
        <v>9</v>
      </c>
    </row>
    <row r="74" spans="1:14" ht="115.2" x14ac:dyDescent="0.3">
      <c r="A74" s="39">
        <v>73</v>
      </c>
      <c r="B74" s="39" t="s">
        <v>7</v>
      </c>
      <c r="C74" s="41">
        <v>1.7</v>
      </c>
      <c r="D74" s="41" t="s">
        <v>115</v>
      </c>
      <c r="E74" s="41" t="s">
        <v>44</v>
      </c>
      <c r="F74" s="42" t="s">
        <v>109</v>
      </c>
      <c r="G74" s="41" t="s">
        <v>10</v>
      </c>
      <c r="H74" s="41" t="s">
        <v>30</v>
      </c>
      <c r="I74" s="41" cm="1">
        <f t="array" ref="I74">_xlfn.SWITCH(H74,"XS",1,"S",2,"M",3,"L",5,"XL",8,"XXL",13,"XXXL",21,"")</f>
        <v>5</v>
      </c>
      <c r="J74" s="41">
        <f>I74</f>
        <v>5</v>
      </c>
      <c r="K74" s="52"/>
      <c r="L74" s="41" t="s">
        <v>116</v>
      </c>
      <c r="M74" s="41"/>
      <c r="N74" s="41" t="s">
        <v>9</v>
      </c>
    </row>
    <row r="75" spans="1:14" x14ac:dyDescent="0.3">
      <c r="A75" s="39">
        <v>74</v>
      </c>
      <c r="B75" s="39" t="s">
        <v>7</v>
      </c>
      <c r="C75" s="41">
        <v>1.7</v>
      </c>
      <c r="D75" s="41" t="s">
        <v>115</v>
      </c>
      <c r="E75" s="41" t="s">
        <v>44</v>
      </c>
      <c r="F75" s="42" t="s">
        <v>100</v>
      </c>
      <c r="G75" s="41" t="s">
        <v>27</v>
      </c>
      <c r="H75" s="41" t="s">
        <v>26</v>
      </c>
      <c r="I75" s="41" cm="1">
        <f t="array" ref="I75">_xlfn.SWITCH(H75,"XS",1,"S",2,"M",3,"L",5,"XL",8,"XXL",13,"XXXL",21,"")</f>
        <v>8</v>
      </c>
      <c r="J75" s="41">
        <f>I75</f>
        <v>8</v>
      </c>
      <c r="K75" s="52"/>
      <c r="L75" s="41" t="s">
        <v>17</v>
      </c>
      <c r="M75" s="41"/>
      <c r="N75" s="41" t="s">
        <v>9</v>
      </c>
    </row>
    <row r="76" spans="1:14" ht="28.8" x14ac:dyDescent="0.3">
      <c r="A76" s="39">
        <v>75</v>
      </c>
      <c r="B76" s="39"/>
      <c r="C76" s="41">
        <v>1.7</v>
      </c>
      <c r="D76" s="41" t="s">
        <v>115</v>
      </c>
      <c r="E76" s="41" t="s">
        <v>44</v>
      </c>
      <c r="F76" s="42" t="s">
        <v>101</v>
      </c>
      <c r="G76" s="41" t="s">
        <v>27</v>
      </c>
      <c r="H76" s="41" t="s">
        <v>30</v>
      </c>
      <c r="I76" s="41" cm="1">
        <f t="array" ref="I76">_xlfn.SWITCH(H76,"XS",1,"S",2,"M",3,"L",5,"XL",8,"XXL",13,"XXXL",21,"")</f>
        <v>5</v>
      </c>
      <c r="J76" s="41">
        <f>I76</f>
        <v>5</v>
      </c>
      <c r="K76" s="53"/>
      <c r="L76" s="41" t="s">
        <v>17</v>
      </c>
      <c r="M76" s="41"/>
      <c r="N76" s="41" t="s">
        <v>9</v>
      </c>
    </row>
    <row r="77" spans="1:14" x14ac:dyDescent="0.3">
      <c r="A77" s="2">
        <v>82</v>
      </c>
      <c r="B77" s="2" t="s">
        <v>7</v>
      </c>
      <c r="C77" s="2"/>
      <c r="D77" s="2"/>
      <c r="E77" s="2"/>
      <c r="F77" s="2"/>
      <c r="G77" s="2"/>
      <c r="H77" s="2"/>
      <c r="I77" s="2" t="str" cm="1">
        <f t="array" ref="I77">_xlfn.SWITCH(H77,"XS",1,"S",2,"M",3,"L",5,"XL",8,"XXL",13,"XXXL",21,"")</f>
        <v/>
      </c>
      <c r="J77" s="38" t="str">
        <f t="shared" si="1"/>
        <v/>
      </c>
      <c r="K77" s="38"/>
      <c r="L77" s="2"/>
      <c r="M77" s="2"/>
      <c r="N77" s="2"/>
    </row>
    <row r="78" spans="1:14" x14ac:dyDescent="0.3">
      <c r="A78" s="2">
        <v>83</v>
      </c>
      <c r="B78" s="2" t="s">
        <v>7</v>
      </c>
      <c r="C78" s="2"/>
      <c r="D78" s="2"/>
      <c r="E78" s="2"/>
      <c r="F78" s="2"/>
      <c r="G78" s="2"/>
      <c r="H78" s="2"/>
      <c r="I78" s="2" t="str" cm="1">
        <f t="array" ref="I78">_xlfn.SWITCH(H78,"XS",1,"S",2,"M",3,"L",5,"XL",8,"XXL",13,"XXXL",21,"")</f>
        <v/>
      </c>
      <c r="J78" s="38" t="str">
        <f t="shared" si="1"/>
        <v/>
      </c>
      <c r="K78" s="38"/>
      <c r="L78" s="2"/>
      <c r="M78" s="2"/>
      <c r="N78" s="2"/>
    </row>
    <row r="79" spans="1:14" x14ac:dyDescent="0.3">
      <c r="A79" s="2">
        <v>84</v>
      </c>
      <c r="B79" s="2" t="s">
        <v>7</v>
      </c>
      <c r="C79" s="2"/>
      <c r="D79" s="2"/>
      <c r="E79" s="2"/>
      <c r="F79" s="2"/>
      <c r="G79" s="2"/>
      <c r="H79" s="2"/>
      <c r="I79" s="2" t="str" cm="1">
        <f t="array" ref="I79">_xlfn.SWITCH(H79,"XS",1,"S",2,"M",3,"L",5,"XL",8,"XXL",13,"XXXL",21,"")</f>
        <v/>
      </c>
      <c r="J79" s="38" t="str">
        <f t="shared" si="1"/>
        <v/>
      </c>
      <c r="K79" s="38"/>
      <c r="L79" s="2"/>
      <c r="M79" s="2"/>
      <c r="N79" s="2"/>
    </row>
    <row r="80" spans="1:14" x14ac:dyDescent="0.3">
      <c r="A80" s="2">
        <v>85</v>
      </c>
      <c r="B80" s="2" t="s">
        <v>7</v>
      </c>
      <c r="C80" s="2"/>
      <c r="D80" s="2"/>
      <c r="E80" s="2"/>
      <c r="F80" s="2"/>
      <c r="G80" s="2"/>
      <c r="H80" s="2"/>
      <c r="I80" s="2" t="str" cm="1">
        <f t="array" ref="I80">_xlfn.SWITCH(H80,"XS",1,"S",2,"M",3,"L",5,"XL",8,"XXL",13,"XXXL",21,"")</f>
        <v/>
      </c>
      <c r="J80" s="38" t="str">
        <f t="shared" si="1"/>
        <v/>
      </c>
      <c r="K80" s="38"/>
      <c r="L80" s="2"/>
      <c r="M80" s="2"/>
      <c r="N80" s="2"/>
    </row>
    <row r="81" spans="1:14" x14ac:dyDescent="0.3">
      <c r="A81" s="2">
        <v>86</v>
      </c>
      <c r="B81" s="2" t="s">
        <v>7</v>
      </c>
      <c r="C81" s="2"/>
      <c r="D81" s="2"/>
      <c r="E81" s="2"/>
      <c r="F81" s="2"/>
      <c r="G81" s="2"/>
      <c r="H81" s="2"/>
      <c r="I81" s="2" t="str" cm="1">
        <f t="array" ref="I81">_xlfn.SWITCH(H81,"XS",1,"S",2,"M",3,"L",5,"XL",8,"XXL",13,"XXXL",21,"")</f>
        <v/>
      </c>
      <c r="J81" s="38" t="str">
        <f t="shared" si="1"/>
        <v/>
      </c>
      <c r="K81" s="38"/>
      <c r="L81" s="2"/>
      <c r="M81" s="2"/>
      <c r="N81" s="2"/>
    </row>
  </sheetData>
  <mergeCells count="23">
    <mergeCell ref="K12:K20"/>
    <mergeCell ref="K32:K43"/>
    <mergeCell ref="J48:J51"/>
    <mergeCell ref="G52:G55"/>
    <mergeCell ref="H52:H55"/>
    <mergeCell ref="I52:I55"/>
    <mergeCell ref="J52:J55"/>
    <mergeCell ref="G48:G51"/>
    <mergeCell ref="H48:H51"/>
    <mergeCell ref="I48:I51"/>
    <mergeCell ref="H44:H47"/>
    <mergeCell ref="I44:I47"/>
    <mergeCell ref="G44:G47"/>
    <mergeCell ref="J44:J47"/>
    <mergeCell ref="G36:G43"/>
    <mergeCell ref="H36:H43"/>
    <mergeCell ref="I36:I43"/>
    <mergeCell ref="J36:J43"/>
    <mergeCell ref="K59:K71"/>
    <mergeCell ref="K72:K76"/>
    <mergeCell ref="K21:K31"/>
    <mergeCell ref="K44:K51"/>
    <mergeCell ref="K52:K58"/>
  </mergeCell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K12"/>
  <sheetViews>
    <sheetView tabSelected="1" workbookViewId="0">
      <selection activeCell="E10" sqref="E10"/>
    </sheetView>
  </sheetViews>
  <sheetFormatPr defaultRowHeight="14.4" x14ac:dyDescent="0.3"/>
  <cols>
    <col min="1" max="1" width="4.88671875" style="3" bestFit="1" customWidth="1"/>
    <col min="2" max="2" width="6.109375" style="47" bestFit="1" customWidth="1"/>
    <col min="3" max="3" width="8.44140625" style="3" bestFit="1" customWidth="1"/>
    <col min="4" max="4" width="6" style="3" bestFit="1" customWidth="1"/>
  </cols>
  <sheetData>
    <row r="1" spans="1:11" ht="57.6" x14ac:dyDescent="0.3">
      <c r="A1" s="3" t="s">
        <v>117</v>
      </c>
      <c r="B1" s="46" t="s">
        <v>118</v>
      </c>
      <c r="C1" s="1" t="s">
        <v>119</v>
      </c>
      <c r="D1" s="1" t="s">
        <v>120</v>
      </c>
    </row>
    <row r="2" spans="1:11" x14ac:dyDescent="0.3">
      <c r="A2" s="3">
        <v>0</v>
      </c>
      <c r="B2" s="46">
        <v>156</v>
      </c>
      <c r="C2" s="1">
        <v>156</v>
      </c>
      <c r="D2" s="1">
        <v>0</v>
      </c>
    </row>
    <row r="3" spans="1:11" x14ac:dyDescent="0.3">
      <c r="A3" s="3">
        <v>1</v>
      </c>
      <c r="B3" s="47">
        <f>156-SUM(D$3:D3)</f>
        <v>156</v>
      </c>
      <c r="C3" s="3">
        <f>156-A3*15.6</f>
        <v>140.4</v>
      </c>
      <c r="D3" s="3">
        <v>0</v>
      </c>
    </row>
    <row r="4" spans="1:11" x14ac:dyDescent="0.3">
      <c r="A4" s="3">
        <v>2</v>
      </c>
      <c r="B4" s="47">
        <f>156-SUM(D$3:D4)</f>
        <v>156</v>
      </c>
      <c r="C4" s="3">
        <f t="shared" ref="C4:C12" si="0">156-A4*15.6</f>
        <v>124.8</v>
      </c>
      <c r="D4" s="3">
        <v>0</v>
      </c>
      <c r="K4" s="45"/>
    </row>
    <row r="5" spans="1:11" x14ac:dyDescent="0.3">
      <c r="A5" s="3">
        <v>3</v>
      </c>
      <c r="B5" s="47">
        <f>156-SUM(D$3:D5)</f>
        <v>156</v>
      </c>
      <c r="C5" s="3">
        <f t="shared" si="0"/>
        <v>109.2</v>
      </c>
      <c r="D5" s="3">
        <v>0</v>
      </c>
    </row>
    <row r="6" spans="1:11" x14ac:dyDescent="0.3">
      <c r="A6" s="3">
        <v>4</v>
      </c>
      <c r="B6" s="47">
        <f>156-SUM(D$3:D6)</f>
        <v>156</v>
      </c>
      <c r="C6" s="3">
        <f t="shared" si="0"/>
        <v>93.6</v>
      </c>
      <c r="D6" s="3">
        <v>0</v>
      </c>
    </row>
    <row r="7" spans="1:11" x14ac:dyDescent="0.3">
      <c r="A7" s="3">
        <v>5</v>
      </c>
      <c r="B7" s="47">
        <f>156-SUM(D$3:D7)</f>
        <v>148</v>
      </c>
      <c r="C7" s="3">
        <f t="shared" si="0"/>
        <v>78</v>
      </c>
      <c r="D7" s="3">
        <v>8</v>
      </c>
    </row>
    <row r="8" spans="1:11" x14ac:dyDescent="0.3">
      <c r="A8" s="3">
        <v>6</v>
      </c>
      <c r="B8" s="47">
        <f>156-SUM(D$3:D8)</f>
        <v>140</v>
      </c>
      <c r="C8" s="3">
        <f t="shared" si="0"/>
        <v>62.400000000000006</v>
      </c>
      <c r="D8" s="3">
        <v>8</v>
      </c>
    </row>
    <row r="9" spans="1:11" x14ac:dyDescent="0.3">
      <c r="A9" s="3">
        <v>7</v>
      </c>
      <c r="B9" s="47">
        <f>156-SUM(D$3:D9)</f>
        <v>116</v>
      </c>
      <c r="C9" s="3">
        <f t="shared" si="0"/>
        <v>46.8</v>
      </c>
      <c r="D9" s="3">
        <v>24</v>
      </c>
    </row>
    <row r="10" spans="1:11" x14ac:dyDescent="0.3">
      <c r="A10" s="3">
        <v>8</v>
      </c>
      <c r="B10" s="47">
        <f>156-SUM(D$3:D10)</f>
        <v>102</v>
      </c>
      <c r="C10" s="3">
        <f t="shared" si="0"/>
        <v>31.200000000000003</v>
      </c>
      <c r="D10" s="3">
        <v>14</v>
      </c>
    </row>
    <row r="11" spans="1:11" x14ac:dyDescent="0.3">
      <c r="A11" s="3">
        <v>9</v>
      </c>
      <c r="B11" s="47">
        <f>156-SUM(D$3:D11)</f>
        <v>82</v>
      </c>
      <c r="C11" s="3">
        <f t="shared" si="0"/>
        <v>15.599999999999994</v>
      </c>
      <c r="D11" s="3">
        <v>20</v>
      </c>
    </row>
    <row r="12" spans="1:11" x14ac:dyDescent="0.3">
      <c r="A12" s="3">
        <v>10</v>
      </c>
      <c r="B12" s="47">
        <f>156-SUM(D$3:D12)</f>
        <v>46</v>
      </c>
      <c r="C12" s="3">
        <f t="shared" si="0"/>
        <v>0</v>
      </c>
      <c r="D12" s="3">
        <v>36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heetViews>
  <sheetFormatPr defaultRowHeight="14.4" x14ac:dyDescent="0.3"/>
  <sheetData>
    <row r="1" spans="1:1" x14ac:dyDescent="0.3">
      <c r="A1" t="s">
        <v>11</v>
      </c>
    </row>
    <row r="2" spans="1:1" x14ac:dyDescent="0.3">
      <c r="A2" t="s">
        <v>12</v>
      </c>
    </row>
    <row r="3" spans="1:1" x14ac:dyDescent="0.3">
      <c r="A3" t="s">
        <v>13</v>
      </c>
    </row>
    <row r="4" spans="1:1" x14ac:dyDescent="0.3">
      <c r="A4" t="s">
        <v>14</v>
      </c>
    </row>
    <row r="5" spans="1:1" x14ac:dyDescent="0.3">
      <c r="A5" t="s">
        <v>15</v>
      </c>
    </row>
    <row r="6" spans="1:1" x14ac:dyDescent="0.3">
      <c r="A6" t="s">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Sprint Board</vt:lpstr>
      <vt:lpstr>Burndown</vt:lpstr>
      <vt:lpstr>Daily Standup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2026-01-16T10:30:27Z</dcterms:modified>
</cp:coreProperties>
</file>