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Hub\Micro2Move\BusinessAnalysis\"/>
    </mc:Choice>
  </mc:AlternateContent>
  <xr:revisionPtr revIDLastSave="0" documentId="13_ncr:1_{146FF7C3-51BF-4B61-88AC-DDFF8C6A6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oard" sheetId="1" r:id="rId1"/>
    <sheet name="Burndown" sheetId="4" r:id="rId2"/>
    <sheet name="Daily Standup Guide" sheetId="2" r:id="rId3"/>
    <sheet name="Ambiguiti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 a="1"/>
  <c r="H12" i="1" s="1"/>
  <c r="I12" i="1" s="1"/>
  <c r="H13" i="1" a="1"/>
  <c r="H13" i="1" s="1"/>
  <c r="I13" i="1" s="1"/>
  <c r="H77" i="1" a="1"/>
  <c r="H77" i="1" s="1"/>
  <c r="I77" i="1" s="1"/>
  <c r="I24" i="1"/>
  <c r="I27" i="1"/>
  <c r="I47" i="1"/>
  <c r="I53" i="1"/>
  <c r="I2" i="1"/>
  <c r="I3" i="1"/>
  <c r="I4" i="1"/>
  <c r="I6" i="1"/>
  <c r="I14" i="1"/>
  <c r="H27" i="1" a="1"/>
  <c r="H27" i="1" s="1"/>
  <c r="H28" i="1" a="1"/>
  <c r="H28" i="1" s="1"/>
  <c r="I28" i="1" s="1"/>
  <c r="H29" i="1" a="1"/>
  <c r="H29" i="1" s="1"/>
  <c r="I29" i="1" s="1"/>
  <c r="H30" i="1" a="1"/>
  <c r="H30" i="1" s="1"/>
  <c r="I30" i="1" s="1"/>
  <c r="H31" i="1" a="1"/>
  <c r="H31" i="1" s="1"/>
  <c r="I31" i="1" s="1"/>
  <c r="H32" i="1" a="1"/>
  <c r="H32" i="1" s="1"/>
  <c r="I32" i="1" s="1"/>
  <c r="H33" i="1" a="1"/>
  <c r="H33" i="1" s="1"/>
  <c r="I33" i="1" s="1"/>
  <c r="H34" i="1" a="1"/>
  <c r="H34" i="1" s="1"/>
  <c r="I34" i="1" s="1"/>
  <c r="H35" i="1" a="1"/>
  <c r="H35" i="1" s="1"/>
  <c r="I35" i="1" s="1"/>
  <c r="H36" i="1" a="1"/>
  <c r="H36" i="1" s="1"/>
  <c r="I36" i="1" s="1"/>
  <c r="H37" i="1" a="1"/>
  <c r="H37" i="1" s="1"/>
  <c r="I37" i="1" s="1"/>
  <c r="H38" i="1" a="1"/>
  <c r="H38" i="1" s="1"/>
  <c r="I38" i="1" s="1"/>
  <c r="H39" i="1" a="1"/>
  <c r="H39" i="1" s="1"/>
  <c r="I39" i="1" s="1"/>
  <c r="H40" i="1" a="1"/>
  <c r="H40" i="1" s="1"/>
  <c r="I40" i="1" s="1"/>
  <c r="H41" i="1" a="1"/>
  <c r="H41" i="1" s="1"/>
  <c r="I41" i="1" s="1"/>
  <c r="H42" i="1" a="1"/>
  <c r="H42" i="1" s="1"/>
  <c r="I42" i="1" s="1"/>
  <c r="H43" i="1" a="1"/>
  <c r="H43" i="1" s="1"/>
  <c r="I43" i="1" s="1"/>
  <c r="H44" i="1" a="1"/>
  <c r="H44" i="1" s="1"/>
  <c r="I44" i="1" s="1"/>
  <c r="H45" i="1" a="1"/>
  <c r="H45" i="1" s="1"/>
  <c r="I45" i="1" s="1"/>
  <c r="H46" i="1" a="1"/>
  <c r="H46" i="1" s="1"/>
  <c r="I46" i="1" s="1"/>
  <c r="H47" i="1" a="1"/>
  <c r="H47" i="1" s="1"/>
  <c r="H48" i="1" a="1"/>
  <c r="H48" i="1" s="1"/>
  <c r="I48" i="1" s="1"/>
  <c r="H49" i="1" a="1"/>
  <c r="H49" i="1" s="1"/>
  <c r="I49" i="1" s="1"/>
  <c r="H50" i="1" a="1"/>
  <c r="H50" i="1" s="1"/>
  <c r="I50" i="1" s="1"/>
  <c r="H51" i="1" a="1"/>
  <c r="H51" i="1" s="1"/>
  <c r="I51" i="1" s="1"/>
  <c r="H52" i="1" a="1"/>
  <c r="H52" i="1" s="1"/>
  <c r="I52" i="1" s="1"/>
  <c r="H53" i="1" a="1"/>
  <c r="H53" i="1"/>
  <c r="H54" i="1" a="1"/>
  <c r="H54" i="1" s="1"/>
  <c r="I54" i="1" s="1"/>
  <c r="H55" i="1" a="1"/>
  <c r="H55" i="1" s="1"/>
  <c r="I55" i="1" s="1"/>
  <c r="H56" i="1" a="1"/>
  <c r="H56" i="1" s="1"/>
  <c r="I56" i="1" s="1"/>
  <c r="H57" i="1" a="1"/>
  <c r="H57" i="1" s="1"/>
  <c r="I57" i="1" s="1"/>
  <c r="H58" i="1" a="1"/>
  <c r="H58" i="1" s="1"/>
  <c r="I58" i="1" s="1"/>
  <c r="H59" i="1" a="1"/>
  <c r="H59" i="1" s="1"/>
  <c r="I59" i="1" s="1"/>
  <c r="H60" i="1" a="1"/>
  <c r="H60" i="1" s="1"/>
  <c r="I60" i="1" s="1"/>
  <c r="H61" i="1" a="1"/>
  <c r="H61" i="1" s="1"/>
  <c r="I61" i="1" s="1"/>
  <c r="H62" i="1" a="1"/>
  <c r="H62" i="1" s="1"/>
  <c r="I62" i="1" s="1"/>
  <c r="H63" i="1" a="1"/>
  <c r="H63" i="1" s="1"/>
  <c r="I63" i="1" s="1"/>
  <c r="H64" i="1" a="1"/>
  <c r="H64" i="1" s="1"/>
  <c r="I64" i="1" s="1"/>
  <c r="H65" i="1" a="1"/>
  <c r="H65" i="1" s="1"/>
  <c r="I65" i="1" s="1"/>
  <c r="H66" i="1" a="1"/>
  <c r="H66" i="1" s="1"/>
  <c r="I66" i="1" s="1"/>
  <c r="H67" i="1" a="1"/>
  <c r="H67" i="1" s="1"/>
  <c r="I67" i="1" s="1"/>
  <c r="H68" i="1" a="1"/>
  <c r="H68" i="1" s="1"/>
  <c r="I68" i="1" s="1"/>
  <c r="H69" i="1" a="1"/>
  <c r="H69" i="1" s="1"/>
  <c r="I69" i="1" s="1"/>
  <c r="H70" i="1" a="1"/>
  <c r="H70" i="1" s="1"/>
  <c r="I70" i="1" s="1"/>
  <c r="H71" i="1" a="1"/>
  <c r="H71" i="1" s="1"/>
  <c r="I71" i="1" s="1"/>
  <c r="H72" i="1" a="1"/>
  <c r="H72" i="1" s="1"/>
  <c r="I72" i="1" s="1"/>
  <c r="H73" i="1" a="1"/>
  <c r="H73" i="1" s="1"/>
  <c r="I73" i="1" s="1"/>
  <c r="H74" i="1" a="1"/>
  <c r="H74" i="1" s="1"/>
  <c r="I74" i="1" s="1"/>
  <c r="H75" i="1" a="1"/>
  <c r="H75" i="1" s="1"/>
  <c r="I75" i="1" s="1"/>
  <c r="H76" i="1" a="1"/>
  <c r="H76" i="1" s="1"/>
  <c r="I76" i="1" s="1"/>
  <c r="H26" i="1" a="1"/>
  <c r="H26" i="1" s="1"/>
  <c r="I26" i="1" s="1"/>
  <c r="H17" i="1" a="1"/>
  <c r="H17" i="1" s="1"/>
  <c r="I17" i="1" s="1"/>
  <c r="J75" i="1" l="1"/>
  <c r="J69" i="1"/>
  <c r="J66" i="1"/>
  <c r="J54" i="1"/>
  <c r="J51" i="1"/>
  <c r="J43" i="1"/>
  <c r="J40" i="1"/>
  <c r="J29" i="1"/>
  <c r="J26" i="1"/>
  <c r="H16" i="1" a="1"/>
  <c r="H16" i="1" s="1"/>
  <c r="I16" i="1" s="1"/>
  <c r="H18" i="1" a="1"/>
  <c r="H18" i="1" s="1"/>
  <c r="I18" i="1" s="1"/>
  <c r="H19" i="1" a="1"/>
  <c r="H19" i="1" s="1"/>
  <c r="I19" i="1" s="1"/>
  <c r="H24" i="1" a="1"/>
  <c r="H24" i="1" s="1"/>
  <c r="H25" i="1" a="1"/>
  <c r="H25" i="1" s="1"/>
  <c r="I25" i="1" s="1"/>
  <c r="H7" i="1" a="1"/>
  <c r="H7" i="1" s="1"/>
  <c r="I7" i="1" s="1"/>
  <c r="H15" i="1" a="1"/>
  <c r="H15" i="1" s="1"/>
  <c r="I15" i="1" s="1"/>
  <c r="H5" i="1" a="1"/>
  <c r="H5" i="1" s="1"/>
  <c r="I5" i="1" s="1"/>
  <c r="H9" i="1" a="1"/>
  <c r="H9" i="1" s="1"/>
  <c r="I9" i="1" s="1"/>
  <c r="H8" i="1" a="1"/>
  <c r="H8" i="1" s="1"/>
  <c r="I8" i="1" s="1"/>
  <c r="H10" i="1" a="1"/>
  <c r="H10" i="1" s="1"/>
  <c r="I10" i="1" s="1"/>
  <c r="H21" i="1" a="1"/>
  <c r="H21" i="1" s="1"/>
  <c r="I21" i="1" s="1"/>
  <c r="H23" i="1" a="1"/>
  <c r="H23" i="1" s="1"/>
  <c r="I23" i="1" s="1"/>
  <c r="H20" i="1" a="1"/>
  <c r="H20" i="1" s="1"/>
  <c r="I20" i="1" s="1"/>
  <c r="H22" i="1" a="1"/>
  <c r="H22" i="1" s="1"/>
  <c r="I22" i="1" s="1"/>
  <c r="H14" i="1" a="1"/>
  <c r="H14" i="1" s="1"/>
  <c r="J20" i="1" l="1"/>
  <c r="J17" i="1"/>
  <c r="J12" i="1"/>
  <c r="J2" i="1"/>
  <c r="I1" i="1"/>
  <c r="J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<sst xmlns="http://schemas.openxmlformats.org/spreadsheetml/2006/main" count="204" uniqueCount="49">
  <si>
    <t>Epic</t>
  </si>
  <si>
    <t>User Story ID</t>
  </si>
  <si>
    <t>User Story (Short)</t>
  </si>
  <si>
    <t>Task</t>
  </si>
  <si>
    <t>Assigned To</t>
  </si>
  <si>
    <t>Status</t>
  </si>
  <si>
    <t>Blocker / Notes</t>
  </si>
  <si>
    <t>No</t>
  </si>
  <si>
    <t>Alekhya</t>
  </si>
  <si>
    <t>Daily Standup Checklist</t>
  </si>
  <si>
    <t>Is any task Blocked?</t>
  </si>
  <si>
    <t>Is any task In Progress for &gt;2 days?</t>
  </si>
  <si>
    <t>Is Sprint Goal still safe?</t>
  </si>
  <si>
    <t>Any dependency issues?</t>
  </si>
  <si>
    <t>Any help needed today?</t>
  </si>
  <si>
    <t>ToDo</t>
  </si>
  <si>
    <t>DoD Met?</t>
  </si>
  <si>
    <t>T-Shirt Sizing</t>
  </si>
  <si>
    <t>Story Point</t>
  </si>
  <si>
    <t>S</t>
  </si>
  <si>
    <t>XS</t>
  </si>
  <si>
    <t>Scope</t>
  </si>
  <si>
    <t>Days</t>
  </si>
  <si>
    <t>Actual Story Points Left</t>
  </si>
  <si>
    <t>Expected Story Points Left</t>
  </si>
  <si>
    <t>Story Points Done</t>
  </si>
  <si>
    <t>Bur</t>
  </si>
  <si>
    <t>Type</t>
  </si>
  <si>
    <t>Details</t>
  </si>
  <si>
    <t>Resolution</t>
  </si>
  <si>
    <t>Owner</t>
  </si>
  <si>
    <t>SME</t>
  </si>
  <si>
    <t>Priority</t>
  </si>
  <si>
    <t>Impediments</t>
  </si>
  <si>
    <t>Issue in</t>
  </si>
  <si>
    <t>Solving Suggestion</t>
  </si>
  <si>
    <t>Explore</t>
  </si>
  <si>
    <t>4.1</t>
  </si>
  <si>
    <r>
      <t xml:space="preserve">1. Render </t>
    </r>
    <r>
      <rPr>
        <b/>
        <u/>
        <sz val="11"/>
        <color theme="1"/>
        <rFont val="Calibri"/>
        <family val="2"/>
        <scheme val="minor"/>
      </rPr>
      <t>info</t>
    </r>
    <r>
      <rPr>
        <sz val="11"/>
        <color theme="1"/>
        <rFont val="Calibri"/>
        <family val="2"/>
        <scheme val="minor"/>
      </rPr>
      <t xml:space="preserve"> screen, connect navigation with </t>
    </r>
    <r>
      <rPr>
        <b/>
        <u/>
        <sz val="11"/>
        <color theme="1"/>
        <rFont val="Calibri"/>
        <family val="2"/>
        <scheme val="minor"/>
      </rPr>
      <t>info</t>
    </r>
    <r>
      <rPr>
        <sz val="11"/>
        <color theme="1"/>
        <rFont val="Calibri"/>
        <family val="2"/>
        <scheme val="minor"/>
      </rPr>
      <t xml:space="preserve"> hyperlink
2. Render static data in polished UI (approach TBD)
3. Highlight </t>
    </r>
    <r>
      <rPr>
        <b/>
        <u/>
        <sz val="11"/>
        <color theme="1"/>
        <rFont val="Calibri"/>
        <family val="2"/>
        <scheme val="minor"/>
      </rPr>
      <t>info</t>
    </r>
    <r>
      <rPr>
        <sz val="11"/>
        <color theme="1"/>
        <rFont val="Calibri"/>
        <family val="2"/>
        <scheme val="minor"/>
      </rPr>
      <t xml:space="preserve"> option</t>
    </r>
  </si>
  <si>
    <r>
      <t xml:space="preserve">1. Render </t>
    </r>
    <r>
      <rPr>
        <b/>
        <u/>
        <sz val="11"/>
        <color theme="1"/>
        <rFont val="Calibri"/>
        <family val="2"/>
        <scheme val="minor"/>
      </rPr>
      <t>Community Updates</t>
    </r>
    <r>
      <rPr>
        <sz val="11"/>
        <color theme="1"/>
        <rFont val="Calibri"/>
        <family val="2"/>
        <scheme val="minor"/>
      </rPr>
      <t xml:space="preserve"> screen, connect navigation with </t>
    </r>
    <r>
      <rPr>
        <b/>
        <u/>
        <sz val="11"/>
        <color theme="1"/>
        <rFont val="Calibri"/>
        <family val="2"/>
        <scheme val="minor"/>
      </rPr>
      <t>Community Updates</t>
    </r>
    <r>
      <rPr>
        <sz val="11"/>
        <color theme="1"/>
        <rFont val="Calibri"/>
        <family val="2"/>
        <scheme val="minor"/>
      </rPr>
      <t xml:space="preserve"> hyperlink
2. Render static data in polished UI (approach TBD)
3. Highlight </t>
    </r>
    <r>
      <rPr>
        <b/>
        <u/>
        <sz val="11"/>
        <color theme="1"/>
        <rFont val="Calibri"/>
        <family val="2"/>
        <scheme val="minor"/>
      </rPr>
      <t>Community Updates</t>
    </r>
    <r>
      <rPr>
        <sz val="11"/>
        <color theme="1"/>
        <rFont val="Calibri"/>
        <family val="2"/>
        <scheme val="minor"/>
      </rPr>
      <t xml:space="preserve"> option</t>
    </r>
  </si>
  <si>
    <r>
      <t xml:space="preserve">1. Render </t>
    </r>
    <r>
      <rPr>
        <b/>
        <u/>
        <sz val="11"/>
        <color theme="1"/>
        <rFont val="Calibri"/>
        <family val="2"/>
        <scheme val="minor"/>
      </rPr>
      <t>Ask AI</t>
    </r>
    <r>
      <rPr>
        <sz val="11"/>
        <color theme="1"/>
        <rFont val="Calibri"/>
        <family val="2"/>
        <scheme val="minor"/>
      </rPr>
      <t xml:space="preserve"> screen, connect navigation with </t>
    </r>
    <r>
      <rPr>
        <b/>
        <u/>
        <sz val="11"/>
        <color theme="1"/>
        <rFont val="Calibri"/>
        <family val="2"/>
        <scheme val="minor"/>
      </rPr>
      <t>Ask AI</t>
    </r>
    <r>
      <rPr>
        <sz val="11"/>
        <color theme="1"/>
        <rFont val="Calibri"/>
        <family val="2"/>
        <scheme val="minor"/>
      </rPr>
      <t xml:space="preserve"> hyperlink
2. Render static data in polished UI (approach TBD)
3. Highlight </t>
    </r>
    <r>
      <rPr>
        <b/>
        <u/>
        <sz val="11"/>
        <color theme="1"/>
        <rFont val="Calibri"/>
        <family val="2"/>
        <scheme val="minor"/>
      </rPr>
      <t>Ask AI</t>
    </r>
    <r>
      <rPr>
        <sz val="11"/>
        <color theme="1"/>
        <rFont val="Calibri"/>
        <family val="2"/>
        <scheme val="minor"/>
      </rPr>
      <t xml:space="preserve"> option
4. Integrate Generative AI API for chat</t>
    </r>
  </si>
  <si>
    <r>
      <t xml:space="preserve">1. Integrate google maps API to render map
2. Render 4 hyperlink variant buttons for: </t>
    </r>
    <r>
      <rPr>
        <b/>
        <u/>
        <sz val="11"/>
        <color theme="1"/>
        <rFont val="Calibri"/>
        <family val="2"/>
        <scheme val="minor"/>
      </rPr>
      <t>Maps</t>
    </r>
    <r>
      <rPr>
        <sz val="11"/>
        <color theme="1"/>
        <rFont val="Calibri"/>
        <family val="2"/>
        <scheme val="minor"/>
      </rPr>
      <t xml:space="preserve">, </t>
    </r>
    <r>
      <rPr>
        <b/>
        <u/>
        <sz val="11"/>
        <color theme="1"/>
        <rFont val="Calibri"/>
        <family val="2"/>
        <scheme val="minor"/>
      </rPr>
      <t>Info</t>
    </r>
    <r>
      <rPr>
        <sz val="11"/>
        <color theme="1"/>
        <rFont val="Calibri"/>
        <family val="2"/>
        <scheme val="minor"/>
      </rPr>
      <t xml:space="preserve">, </t>
    </r>
    <r>
      <rPr>
        <b/>
        <u/>
        <sz val="11"/>
        <color theme="1"/>
        <rFont val="Calibri"/>
        <family val="2"/>
        <scheme val="minor"/>
      </rPr>
      <t>Community Update</t>
    </r>
    <r>
      <rPr>
        <sz val="11"/>
        <color theme="1"/>
        <rFont val="Calibri"/>
        <family val="2"/>
        <scheme val="minor"/>
      </rPr>
      <t xml:space="preserve">, </t>
    </r>
    <r>
      <rPr>
        <b/>
        <u/>
        <sz val="11"/>
        <color theme="1"/>
        <rFont val="Calibri"/>
        <family val="2"/>
        <scheme val="minor"/>
      </rPr>
      <t xml:space="preserve">Ask AI
</t>
    </r>
    <r>
      <rPr>
        <sz val="11"/>
        <color theme="1"/>
        <rFont val="Calibri"/>
        <family val="2"/>
        <scheme val="minor"/>
      </rPr>
      <t xml:space="preserve">3. Searching destination from starting point (google maps native navigation feature)
- Ask for user location
- If user denies location, navigate to </t>
    </r>
    <r>
      <rPr>
        <b/>
        <u/>
        <sz val="11"/>
        <color theme="1"/>
        <rFont val="Calibri"/>
        <family val="2"/>
        <scheme val="minor"/>
      </rPr>
      <t>info</t>
    </r>
    <r>
      <rPr>
        <sz val="11"/>
        <color theme="1"/>
        <rFont val="Calibri"/>
        <family val="2"/>
        <scheme val="minor"/>
      </rPr>
      <t xml:space="preserve"> option. Send an Alert: "location permission denied. Enable location for micro2move to access maps"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4. Integrate a toggle opening button for </t>
    </r>
    <r>
      <rPr>
        <b/>
        <sz val="11"/>
        <color theme="1"/>
        <rFont val="Calibri"/>
        <family val="2"/>
        <scheme val="minor"/>
      </rPr>
      <t>More</t>
    </r>
    <r>
      <rPr>
        <sz val="11"/>
        <color theme="1"/>
        <rFont val="Calibri"/>
        <family val="2"/>
        <scheme val="minor"/>
      </rPr>
      <t xml:space="preserve"> options
5. Link </t>
    </r>
    <r>
      <rPr>
        <b/>
        <sz val="11"/>
        <color theme="1"/>
        <rFont val="Calibri"/>
        <family val="2"/>
        <scheme val="minor"/>
      </rPr>
      <t>More</t>
    </r>
    <r>
      <rPr>
        <sz val="11"/>
        <color theme="1"/>
        <rFont val="Calibri"/>
        <family val="2"/>
        <scheme val="minor"/>
      </rPr>
      <t xml:space="preserve"> to open filters: Current charging stations, Future charging stations, Dedicated bike stations, bike lane infarstructure
6. Filters display respective points on map</t>
    </r>
  </si>
  <si>
    <t>5.1</t>
  </si>
  <si>
    <r>
      <t xml:space="preserve">1. Render the profile screen layout, wire it with </t>
    </r>
    <r>
      <rPr>
        <b/>
        <sz val="11"/>
        <color theme="1"/>
        <rFont val="Calibri"/>
        <family val="2"/>
        <scheme val="minor"/>
      </rPr>
      <t>profile</t>
    </r>
    <r>
      <rPr>
        <sz val="11"/>
        <color theme="1"/>
        <rFont val="Calibri"/>
        <family val="2"/>
        <scheme val="minor"/>
      </rPr>
      <t xml:space="preserve"> bottomnavtab.
2. Render "Welcome Username" as heading variant of label component
3. Render user's profile picture.
- render edit option, integrate CameraPicker component
4. Render user's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
5. Render </t>
    </r>
    <r>
      <rPr>
        <b/>
        <sz val="11"/>
        <color theme="1"/>
        <rFont val="Calibri"/>
        <family val="2"/>
        <scheme val="minor"/>
      </rPr>
      <t>Bikes Rented</t>
    </r>
    <r>
      <rPr>
        <sz val="11"/>
        <color theme="1"/>
        <rFont val="Calibri"/>
        <family val="2"/>
        <scheme val="minor"/>
      </rPr>
      <t xml:space="preserve"> section, displaying the no. of bikes rented by the user
6. Render Joined micro2move on section, displaying joining date of the user
7. Render </t>
    </r>
    <r>
      <rPr>
        <b/>
        <u/>
        <sz val="11"/>
        <color theme="1"/>
        <rFont val="Calibri"/>
        <family val="2"/>
        <scheme val="minor"/>
      </rPr>
      <t>Community Activity</t>
    </r>
    <r>
      <rPr>
        <sz val="11"/>
        <color theme="1"/>
        <rFont val="Calibri"/>
        <family val="2"/>
        <scheme val="minor"/>
      </rPr>
      <t xml:space="preserve"> hyperlink variant button
8. Render </t>
    </r>
    <r>
      <rPr>
        <b/>
        <u/>
        <sz val="11"/>
        <color theme="1"/>
        <rFont val="Calibri"/>
        <family val="2"/>
        <scheme val="minor"/>
      </rPr>
      <t>In-App Lessons</t>
    </r>
    <r>
      <rPr>
        <sz val="11"/>
        <color theme="1"/>
        <rFont val="Calibri"/>
        <family val="2"/>
        <scheme val="minor"/>
      </rPr>
      <t xml:space="preserve"> hyperlink variant button
9. Render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 xml:space="preserve"> primary variant button
- add local styling: {backgroundColor: Colors.Red}</t>
    </r>
  </si>
  <si>
    <t>5.2</t>
  </si>
  <si>
    <r>
      <t xml:space="preserve">1. render Community Activity screen layout
- Wire the screen with </t>
    </r>
    <r>
      <rPr>
        <b/>
        <u/>
        <sz val="11"/>
        <color theme="1"/>
        <rFont val="Calibri"/>
        <family val="2"/>
        <scheme val="minor"/>
      </rPr>
      <t>Community Activity</t>
    </r>
    <r>
      <rPr>
        <sz val="11"/>
        <color theme="1"/>
        <rFont val="Calibri"/>
        <family val="2"/>
        <scheme val="minor"/>
      </rPr>
      <t xml:space="preserve"> hyperlink
2. Render static data in the screen</t>
    </r>
  </si>
  <si>
    <t>5.3</t>
  </si>
  <si>
    <r>
      <t xml:space="preserve">1. render In-App Lessons screen layout
- Wire the screen with </t>
    </r>
    <r>
      <rPr>
        <b/>
        <u/>
        <sz val="11"/>
        <color theme="1"/>
        <rFont val="Calibri"/>
        <family val="2"/>
        <scheme val="minor"/>
      </rPr>
      <t>In-App Lessons</t>
    </r>
    <r>
      <rPr>
        <sz val="11"/>
        <color theme="1"/>
        <rFont val="Calibri"/>
        <family val="2"/>
        <scheme val="minor"/>
      </rPr>
      <t xml:space="preserve"> hyperlink
2. Render static data in the screen</t>
    </r>
  </si>
  <si>
    <t>Frontend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</si>
</sst>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12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0" fillId="17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top" wrapText="1"/>
    </xf>
    <xf numFmtId="0" fontId="0" fillId="15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49" fontId="0" fillId="17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center" vertical="center" wrapText="1"/>
    </xf>
    <xf numFmtId="49" fontId="0" fillId="10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 wrapText="1"/>
    </xf>
    <xf numFmtId="49" fontId="0" fillId="11" borderId="1" xfId="0" applyNumberForma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16" borderId="1" xfId="0" applyNumberFormat="1" applyFill="1" applyBorder="1" applyAlignment="1">
      <alignment horizontal="center"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Burndown!$B$1</c:f>
              <c:strCache>
                <c:ptCount val="1"/>
                <c:pt idx="0">
                  <c:v>Actual Story Points Left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Burndown!$B$2:$B$12</c:f>
              <c:numCache>
                <c:formatCode>General</c:formatCode>
                <c:ptCount val="11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115</c:v>
                </c:pt>
                <c:pt idx="6">
                  <c:v>115</c:v>
                </c:pt>
                <c:pt idx="7">
                  <c:v>115</c:v>
                </c:pt>
                <c:pt idx="8">
                  <c:v>115</c:v>
                </c:pt>
                <c:pt idx="9">
                  <c:v>115</c:v>
                </c:pt>
                <c:pt idx="10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3-4D70-A15D-11D521EE13C6}"/>
            </c:ext>
          </c:extLst>
        </c:ser>
        <c:ser>
          <c:idx val="1"/>
          <c:order val="1"/>
          <c:tx>
            <c:strRef>
              <c:f>Burndown!$C$1</c:f>
              <c:strCache>
                <c:ptCount val="1"/>
                <c:pt idx="0">
                  <c:v>Expected Story Points Left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Burndown!$C$2:$C$12</c:f>
              <c:numCache>
                <c:formatCode>General</c:formatCode>
                <c:ptCount val="11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3-4D70-A15D-11D521EE1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576623"/>
        <c:axId val="228581423"/>
      </c:lineChart>
      <c:catAx>
        <c:axId val="228576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81423"/>
        <c:crosses val="autoZero"/>
        <c:auto val="1"/>
        <c:lblAlgn val="ctr"/>
        <c:lblOffset val="100"/>
        <c:noMultiLvlLbl val="0"/>
      </c:catAx>
      <c:valAx>
        <c:axId val="2285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57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0</xdr:row>
      <xdr:rowOff>182880</xdr:rowOff>
    </xdr:from>
    <xdr:to>
      <xdr:col>18</xdr:col>
      <xdr:colOff>30480</xdr:colOff>
      <xdr:row>21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606402-996D-6CA4-C8E9-5276D0F88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zoomScale="85" zoomScaleNormal="85" workbookViewId="0">
      <pane ySplit="1" topLeftCell="A2" activePane="bottomLeft" state="frozen"/>
      <selection pane="bottomLeft" activeCell="H82" sqref="H82"/>
    </sheetView>
  </sheetViews>
  <sheetFormatPr defaultRowHeight="14.4" x14ac:dyDescent="0.3"/>
  <cols>
    <col min="1" max="1" width="11.6640625" style="1" customWidth="1"/>
    <col min="2" max="2" width="13.44140625" style="31" bestFit="1" customWidth="1"/>
    <col min="3" max="3" width="18.109375" style="1" bestFit="1" customWidth="1"/>
    <col min="4" max="4" width="12.33203125" style="1" bestFit="1" customWidth="1"/>
    <col min="5" max="5" width="80.21875" style="52" customWidth="1"/>
    <col min="6" max="6" width="12.44140625" style="1" bestFit="1" customWidth="1"/>
    <col min="7" max="7" width="13.33203125" style="1" bestFit="1" customWidth="1"/>
    <col min="8" max="8" width="11.5546875" style="1" bestFit="1" customWidth="1"/>
    <col min="9" max="9" width="4.6640625" style="1" bestFit="1" customWidth="1"/>
    <col min="10" max="10" width="4.6640625" style="1" customWidth="1"/>
    <col min="11" max="11" width="7" style="1" bestFit="1" customWidth="1"/>
    <col min="12" max="12" width="16" style="1" bestFit="1" customWidth="1"/>
    <col min="13" max="13" width="10.77734375" style="1" bestFit="1" customWidth="1"/>
    <col min="14" max="16384" width="8.88671875" style="1"/>
  </cols>
  <sheetData>
    <row r="1" spans="1:13" s="3" customFormat="1" ht="15.6" x14ac:dyDescent="0.3">
      <c r="A1" s="4" t="s">
        <v>0</v>
      </c>
      <c r="B1" s="53" t="s">
        <v>1</v>
      </c>
      <c r="C1" s="4" t="s">
        <v>2</v>
      </c>
      <c r="D1" s="4" t="s">
        <v>21</v>
      </c>
      <c r="E1" s="4" t="s">
        <v>3</v>
      </c>
      <c r="F1" s="4" t="s">
        <v>4</v>
      </c>
      <c r="G1" s="4" t="s">
        <v>17</v>
      </c>
      <c r="H1" s="4" t="s">
        <v>18</v>
      </c>
      <c r="I1" s="4">
        <f>SUM(I2:I76)</f>
        <v>12</v>
      </c>
      <c r="J1" s="4">
        <f>SUM(J2:J76)</f>
        <v>12</v>
      </c>
      <c r="K1" s="4" t="s">
        <v>5</v>
      </c>
      <c r="L1" s="4" t="s">
        <v>6</v>
      </c>
      <c r="M1" s="4" t="s">
        <v>16</v>
      </c>
    </row>
    <row r="2" spans="1:13" x14ac:dyDescent="0.3">
      <c r="A2" s="5" t="s">
        <v>36</v>
      </c>
      <c r="B2" s="54" t="s">
        <v>37</v>
      </c>
      <c r="C2" s="5"/>
      <c r="D2" s="5"/>
      <c r="E2" s="34"/>
      <c r="F2" s="5"/>
      <c r="G2" s="5"/>
      <c r="H2" s="5"/>
      <c r="I2" s="6">
        <f>H2</f>
        <v>0</v>
      </c>
      <c r="J2" s="84">
        <f>SUM(I2:I11)</f>
        <v>2</v>
      </c>
      <c r="K2" s="5" t="s">
        <v>15</v>
      </c>
      <c r="L2" s="5"/>
      <c r="M2" s="5" t="s">
        <v>7</v>
      </c>
    </row>
    <row r="3" spans="1:13" x14ac:dyDescent="0.3">
      <c r="A3" s="5"/>
      <c r="B3" s="54" t="s">
        <v>37</v>
      </c>
      <c r="C3" s="5"/>
      <c r="D3" s="5"/>
      <c r="E3" s="35"/>
      <c r="F3" s="5"/>
      <c r="G3" s="5"/>
      <c r="H3" s="5"/>
      <c r="I3" s="6">
        <f>H3</f>
        <v>0</v>
      </c>
      <c r="J3" s="84"/>
      <c r="K3" s="5" t="s">
        <v>15</v>
      </c>
      <c r="L3" s="5"/>
      <c r="M3" s="5" t="s">
        <v>7</v>
      </c>
    </row>
    <row r="4" spans="1:13" x14ac:dyDescent="0.3">
      <c r="A4" s="5"/>
      <c r="B4" s="54" t="s">
        <v>37</v>
      </c>
      <c r="C4" s="5"/>
      <c r="D4" s="5"/>
      <c r="E4" s="35"/>
      <c r="F4" s="5"/>
      <c r="G4" s="5"/>
      <c r="H4" s="5"/>
      <c r="I4" s="6">
        <f t="shared" ref="I4:I19" si="0">H4</f>
        <v>0</v>
      </c>
      <c r="J4" s="84"/>
      <c r="K4" s="5" t="s">
        <v>15</v>
      </c>
      <c r="L4" s="5"/>
      <c r="M4" s="5" t="s">
        <v>7</v>
      </c>
    </row>
    <row r="5" spans="1:13" x14ac:dyDescent="0.3">
      <c r="A5" s="5"/>
      <c r="B5" s="54" t="s">
        <v>37</v>
      </c>
      <c r="C5" s="5"/>
      <c r="D5" s="5"/>
      <c r="E5" s="35"/>
      <c r="F5" s="5"/>
      <c r="G5" s="5"/>
      <c r="H5" s="5" t="str" cm="1">
        <f t="array" ref="H5">_xlfn.SWITCH(G5,"XS",1,"S",2,"M",3,"L",5,"XL",8,"XXL",13,"XXXL",21,"")</f>
        <v/>
      </c>
      <c r="I5" s="6" t="str">
        <f>H5</f>
        <v/>
      </c>
      <c r="J5" s="84"/>
      <c r="K5" s="5" t="s">
        <v>15</v>
      </c>
      <c r="L5" s="5"/>
      <c r="M5" s="5" t="s">
        <v>7</v>
      </c>
    </row>
    <row r="6" spans="1:13" x14ac:dyDescent="0.3">
      <c r="A6" s="5"/>
      <c r="B6" s="54" t="s">
        <v>37</v>
      </c>
      <c r="C6" s="5"/>
      <c r="D6" s="5"/>
      <c r="E6" s="34"/>
      <c r="F6" s="5"/>
      <c r="G6" s="5"/>
      <c r="H6" s="5"/>
      <c r="I6" s="6">
        <f t="shared" si="0"/>
        <v>0</v>
      </c>
      <c r="J6" s="84"/>
      <c r="K6" s="5" t="s">
        <v>15</v>
      </c>
      <c r="L6" s="5"/>
      <c r="M6" s="5" t="s">
        <v>7</v>
      </c>
    </row>
    <row r="7" spans="1:13" ht="144" x14ac:dyDescent="0.3">
      <c r="A7" s="6"/>
      <c r="B7" s="54" t="s">
        <v>37</v>
      </c>
      <c r="C7" s="6"/>
      <c r="D7" s="6" t="s">
        <v>48</v>
      </c>
      <c r="E7" s="36" t="s">
        <v>41</v>
      </c>
      <c r="F7" s="6" t="s">
        <v>8</v>
      </c>
      <c r="G7" s="6" t="s">
        <v>19</v>
      </c>
      <c r="H7" s="5" cm="1">
        <f t="array" ref="H7">_xlfn.SWITCH(G7,"XS",1,"S",2,"M",3,"L",5,"XL",8,"XXL",13,"XXXL",21,"")</f>
        <v>2</v>
      </c>
      <c r="I7" s="6">
        <f t="shared" si="0"/>
        <v>2</v>
      </c>
      <c r="J7" s="84"/>
      <c r="K7" s="6" t="s">
        <v>15</v>
      </c>
      <c r="L7" s="6"/>
      <c r="M7" s="6" t="s">
        <v>7</v>
      </c>
    </row>
    <row r="8" spans="1:13" ht="104.4" customHeight="1" x14ac:dyDescent="0.3">
      <c r="A8" s="6"/>
      <c r="B8" s="54" t="s">
        <v>37</v>
      </c>
      <c r="C8" s="6"/>
      <c r="D8" s="6"/>
      <c r="E8" s="36"/>
      <c r="F8" s="6"/>
      <c r="G8" s="6"/>
      <c r="H8" s="5" t="str" cm="1">
        <f t="array" ref="H8">_xlfn.SWITCH(G8,"XS",1,"S",2,"M",3,"L",5,"XL",8,"XXL",13,"XXXL",21,"")</f>
        <v/>
      </c>
      <c r="I8" s="6" t="str">
        <f>H8</f>
        <v/>
      </c>
      <c r="J8" s="84"/>
      <c r="K8" s="6" t="s">
        <v>15</v>
      </c>
      <c r="L8" s="6"/>
      <c r="M8" s="6" t="s">
        <v>7</v>
      </c>
    </row>
    <row r="9" spans="1:13" x14ac:dyDescent="0.3">
      <c r="A9" s="6"/>
      <c r="B9" s="54" t="s">
        <v>37</v>
      </c>
      <c r="C9" s="6"/>
      <c r="D9" s="6"/>
      <c r="E9" s="36"/>
      <c r="F9" s="6"/>
      <c r="G9" s="6"/>
      <c r="H9" s="5" t="str" cm="1">
        <f t="array" ref="H9">_xlfn.SWITCH(G9,"XS",1,"S",2,"M",3,"L",5,"XL",8,"XXL",13,"XXXL",21,"")</f>
        <v/>
      </c>
      <c r="I9" s="6" t="str">
        <f t="shared" si="0"/>
        <v/>
      </c>
      <c r="J9" s="84"/>
      <c r="K9" s="6" t="s">
        <v>15</v>
      </c>
      <c r="L9" s="6"/>
      <c r="M9" s="6" t="s">
        <v>7</v>
      </c>
    </row>
    <row r="10" spans="1:13" x14ac:dyDescent="0.3">
      <c r="A10" s="6"/>
      <c r="B10" s="54" t="s">
        <v>37</v>
      </c>
      <c r="C10" s="6"/>
      <c r="D10" s="6"/>
      <c r="E10" s="36"/>
      <c r="F10" s="6"/>
      <c r="G10" s="6"/>
      <c r="H10" s="5" t="str" cm="1">
        <f t="array" ref="H10">_xlfn.SWITCH(G10,"XS",1,"S",2,"M",3,"L",5,"XL",8,"XXL",13,"XXXL",21,"")</f>
        <v/>
      </c>
      <c r="I10" s="6" t="str">
        <f t="shared" si="0"/>
        <v/>
      </c>
      <c r="J10" s="84"/>
      <c r="K10" s="6" t="s">
        <v>15</v>
      </c>
      <c r="L10" s="6"/>
      <c r="M10" s="6" t="s">
        <v>7</v>
      </c>
    </row>
    <row r="11" spans="1:13" ht="69.599999999999994" customHeight="1" x14ac:dyDescent="0.3">
      <c r="A11" s="6"/>
      <c r="B11" s="54" t="s">
        <v>37</v>
      </c>
      <c r="C11" s="6"/>
      <c r="D11" s="6"/>
      <c r="E11" s="36"/>
      <c r="F11" s="6"/>
      <c r="G11" s="6"/>
      <c r="H11" s="5"/>
      <c r="I11" s="6"/>
      <c r="J11" s="84"/>
      <c r="K11" s="6" t="s">
        <v>15</v>
      </c>
      <c r="L11" s="6"/>
      <c r="M11" s="6" t="s">
        <v>7</v>
      </c>
    </row>
    <row r="12" spans="1:13" ht="129" customHeight="1" x14ac:dyDescent="0.3">
      <c r="A12" s="7"/>
      <c r="B12" s="55"/>
      <c r="C12" s="7"/>
      <c r="D12" s="7"/>
      <c r="E12" s="37"/>
      <c r="F12" s="7"/>
      <c r="G12" s="7"/>
      <c r="H12" s="7" t="str" cm="1">
        <f t="array" ref="H12">_xlfn.SWITCH(G12,"XS",1,"S",2,"M",3,"L",5,"XL",8,"XXL",13,"XXXL",21,"")</f>
        <v/>
      </c>
      <c r="I12" s="7" t="str">
        <f t="shared" si="0"/>
        <v/>
      </c>
      <c r="J12" s="85">
        <f>SUM(I12:I16)</f>
        <v>1</v>
      </c>
      <c r="K12" s="7" t="s">
        <v>15</v>
      </c>
      <c r="L12" s="7"/>
      <c r="M12" s="7" t="s">
        <v>7</v>
      </c>
    </row>
    <row r="13" spans="1:13" x14ac:dyDescent="0.3">
      <c r="A13" s="7"/>
      <c r="B13" s="55"/>
      <c r="C13" s="7"/>
      <c r="D13" s="7"/>
      <c r="E13" s="37"/>
      <c r="F13" s="7"/>
      <c r="G13" s="7"/>
      <c r="H13" s="7" t="str" cm="1">
        <f t="array" ref="H13">_xlfn.SWITCH(G13,"XS",1,"S",2,"M",3,"L",5,"XL",8,"XXL",13,"XXXL",21,"")</f>
        <v/>
      </c>
      <c r="I13" s="7" t="str">
        <f t="shared" si="0"/>
        <v/>
      </c>
      <c r="J13" s="86"/>
      <c r="K13" s="7" t="s">
        <v>15</v>
      </c>
      <c r="L13" s="7"/>
      <c r="M13" s="7" t="s">
        <v>7</v>
      </c>
    </row>
    <row r="14" spans="1:13" ht="43.2" x14ac:dyDescent="0.3">
      <c r="A14" s="8"/>
      <c r="B14" s="8">
        <v>4.2</v>
      </c>
      <c r="C14" s="8"/>
      <c r="D14" s="8"/>
      <c r="E14" s="38" t="s">
        <v>38</v>
      </c>
      <c r="F14" s="8"/>
      <c r="G14" s="8" t="s">
        <v>20</v>
      </c>
      <c r="H14" s="8" cm="1">
        <f t="array" ref="H14">_xlfn.SWITCH(G14,"XS",1,"S",2,"M",3,"L",5,"XL",8,"XXL",13,"XXXL",21,"")</f>
        <v>1</v>
      </c>
      <c r="I14" s="8">
        <f t="shared" si="0"/>
        <v>1</v>
      </c>
      <c r="J14" s="86"/>
      <c r="K14" s="8" t="s">
        <v>15</v>
      </c>
      <c r="L14" s="8"/>
      <c r="M14" s="8" t="s">
        <v>7</v>
      </c>
    </row>
    <row r="15" spans="1:13" x14ac:dyDescent="0.3">
      <c r="A15" s="8"/>
      <c r="B15" s="56"/>
      <c r="C15" s="8"/>
      <c r="D15" s="8"/>
      <c r="E15" s="38"/>
      <c r="F15" s="8"/>
      <c r="G15" s="8"/>
      <c r="H15" s="8" t="str" cm="1">
        <f t="array" ref="H15">_xlfn.SWITCH(G15,"XS",1,"S",2,"M",3,"L",5,"XL",8,"XXL",13,"XXXL",21,"")</f>
        <v/>
      </c>
      <c r="I15" s="8" t="str">
        <f t="shared" si="0"/>
        <v/>
      </c>
      <c r="J15" s="86"/>
      <c r="K15" s="8" t="s">
        <v>15</v>
      </c>
      <c r="L15" s="8"/>
      <c r="M15" s="8" t="s">
        <v>7</v>
      </c>
    </row>
    <row r="16" spans="1:13" x14ac:dyDescent="0.3">
      <c r="A16" s="8"/>
      <c r="B16" s="56"/>
      <c r="C16" s="8"/>
      <c r="D16" s="8"/>
      <c r="E16" s="38"/>
      <c r="F16" s="8"/>
      <c r="G16" s="8"/>
      <c r="H16" s="8" t="str" cm="1">
        <f t="array" ref="H16">_xlfn.SWITCH(G16,"XS",1,"S",2,"M",3,"L",5,"XL",8,"XXL",13,"XXXL",21,"")</f>
        <v/>
      </c>
      <c r="I16" s="8" t="str">
        <f t="shared" si="0"/>
        <v/>
      </c>
      <c r="J16" s="87"/>
      <c r="K16" s="8" t="s">
        <v>15</v>
      </c>
      <c r="L16" s="8"/>
      <c r="M16" s="8" t="s">
        <v>7</v>
      </c>
    </row>
    <row r="17" spans="1:13" x14ac:dyDescent="0.3">
      <c r="A17" s="29"/>
      <c r="B17" s="57"/>
      <c r="C17" s="29"/>
      <c r="D17" s="29"/>
      <c r="E17" s="39"/>
      <c r="F17" s="29"/>
      <c r="G17" s="29"/>
      <c r="H17" s="29" t="str" cm="1">
        <f t="array" ref="H17">_xlfn.SWITCH(G17,"XS",1,"S",2,"M",3,"L",5,"XL",8,"XXL",13,"XXXL",21,"")</f>
        <v/>
      </c>
      <c r="I17" s="29" t="str">
        <f t="shared" si="0"/>
        <v/>
      </c>
      <c r="J17" s="81">
        <f>SUM(I17:I19)</f>
        <v>0</v>
      </c>
      <c r="K17" s="29" t="s">
        <v>15</v>
      </c>
      <c r="L17" s="29"/>
      <c r="M17" s="29"/>
    </row>
    <row r="18" spans="1:13" ht="130.80000000000001" customHeight="1" x14ac:dyDescent="0.3">
      <c r="A18" s="17"/>
      <c r="B18" s="58"/>
      <c r="C18" s="17"/>
      <c r="D18" s="17"/>
      <c r="E18" s="40"/>
      <c r="F18" s="17"/>
      <c r="G18" s="17"/>
      <c r="H18" s="17" t="str" cm="1">
        <f t="array" ref="H18">_xlfn.SWITCH(G18,"XS",1,"S",2,"M",3,"L",5,"XL",8,"XXL",13,"XXXL",21,"")</f>
        <v/>
      </c>
      <c r="I18" s="17" t="str">
        <f t="shared" si="0"/>
        <v/>
      </c>
      <c r="J18" s="81"/>
      <c r="K18" s="17" t="s">
        <v>15</v>
      </c>
      <c r="L18" s="17"/>
      <c r="M18" s="17" t="s">
        <v>7</v>
      </c>
    </row>
    <row r="19" spans="1:13" x14ac:dyDescent="0.3">
      <c r="A19" s="17"/>
      <c r="B19" s="58"/>
      <c r="C19" s="17"/>
      <c r="D19" s="17"/>
      <c r="E19" s="40"/>
      <c r="F19" s="17"/>
      <c r="G19" s="17"/>
      <c r="H19" s="17" t="str" cm="1">
        <f t="array" ref="H19">_xlfn.SWITCH(G19,"XS",1,"S",2,"M",3,"L",5,"XL",8,"XXL",13,"XXXL",21,"")</f>
        <v/>
      </c>
      <c r="I19" s="17" t="str">
        <f t="shared" si="0"/>
        <v/>
      </c>
      <c r="J19" s="81"/>
      <c r="K19" s="17" t="s">
        <v>15</v>
      </c>
      <c r="L19" s="17"/>
      <c r="M19" s="17" t="s">
        <v>7</v>
      </c>
    </row>
    <row r="20" spans="1:13" x14ac:dyDescent="0.3">
      <c r="A20" s="10"/>
      <c r="B20" s="59"/>
      <c r="C20" s="10"/>
      <c r="D20" s="10"/>
      <c r="E20" s="41"/>
      <c r="F20" s="10"/>
      <c r="G20" s="10"/>
      <c r="H20" s="10" t="str" cm="1">
        <f t="array" ref="H20">_xlfn.SWITCH(G20,"XS",1,"S",2,"M",3,"L",5,"XL",8,"XXL",13,"XXXL",21,"")</f>
        <v/>
      </c>
      <c r="I20" s="10" t="str">
        <f>H20</f>
        <v/>
      </c>
      <c r="J20" s="88">
        <f>SUM(I20:I25)</f>
        <v>1</v>
      </c>
      <c r="K20" s="10" t="s">
        <v>15</v>
      </c>
      <c r="L20" s="10"/>
      <c r="M20" s="10" t="s">
        <v>7</v>
      </c>
    </row>
    <row r="21" spans="1:13" x14ac:dyDescent="0.3">
      <c r="A21" s="10"/>
      <c r="B21" s="59"/>
      <c r="C21" s="10"/>
      <c r="D21" s="10"/>
      <c r="E21" s="41"/>
      <c r="F21" s="10"/>
      <c r="G21" s="10"/>
      <c r="H21" s="10" t="str" cm="1">
        <f t="array" ref="H21">_xlfn.SWITCH(G21,"XS",1,"S",2,"M",3,"L",5,"XL",8,"XXL",13,"XXXL",21,"")</f>
        <v/>
      </c>
      <c r="I21" s="10" t="str">
        <f>H21</f>
        <v/>
      </c>
      <c r="J21" s="89"/>
      <c r="K21" s="10" t="s">
        <v>15</v>
      </c>
      <c r="L21" s="10"/>
      <c r="M21" s="10" t="s">
        <v>7</v>
      </c>
    </row>
    <row r="22" spans="1:13" x14ac:dyDescent="0.3">
      <c r="A22" s="10"/>
      <c r="B22" s="59"/>
      <c r="C22" s="10"/>
      <c r="D22" s="10"/>
      <c r="E22" s="41"/>
      <c r="F22" s="10"/>
      <c r="G22" s="10"/>
      <c r="H22" s="10" t="str" cm="1">
        <f t="array" ref="H22">_xlfn.SWITCH(G22,"XS",1,"S",2,"M",3,"L",5,"XL",8,"XXL",13,"XXXL",21,"")</f>
        <v/>
      </c>
      <c r="I22" s="10" t="str">
        <f>H22</f>
        <v/>
      </c>
      <c r="J22" s="89"/>
      <c r="K22" s="10" t="s">
        <v>15</v>
      </c>
      <c r="L22" s="10"/>
      <c r="M22" s="10" t="s">
        <v>7</v>
      </c>
    </row>
    <row r="23" spans="1:13" x14ac:dyDescent="0.3">
      <c r="A23" s="10"/>
      <c r="B23" s="59"/>
      <c r="C23" s="10"/>
      <c r="D23" s="10"/>
      <c r="E23" s="41"/>
      <c r="F23" s="10"/>
      <c r="G23" s="10"/>
      <c r="H23" s="10" t="str" cm="1">
        <f t="array" ref="H23">_xlfn.SWITCH(G23,"XS",1,"S",2,"M",3,"L",5,"XL",8,"XXL",13,"XXXL",21,"")</f>
        <v/>
      </c>
      <c r="I23" s="10" t="str">
        <f>H23</f>
        <v/>
      </c>
      <c r="J23" s="89"/>
      <c r="K23" s="10" t="s">
        <v>15</v>
      </c>
      <c r="L23" s="10"/>
      <c r="M23" s="10" t="s">
        <v>7</v>
      </c>
    </row>
    <row r="24" spans="1:13" ht="56.4" customHeight="1" x14ac:dyDescent="0.3">
      <c r="A24" s="11"/>
      <c r="B24" s="11">
        <v>4.3</v>
      </c>
      <c r="C24" s="11"/>
      <c r="D24" s="11"/>
      <c r="E24" s="42" t="s">
        <v>39</v>
      </c>
      <c r="F24" s="11"/>
      <c r="G24" s="11" t="s">
        <v>20</v>
      </c>
      <c r="H24" s="11" cm="1">
        <f t="array" ref="H24">_xlfn.SWITCH(G24,"XS",1,"S",2,"M",3,"L",5,"XL",8,"XXL",13,"XXXL",21,"")</f>
        <v>1</v>
      </c>
      <c r="I24" s="11">
        <f t="shared" ref="I24:I76" si="1">H24</f>
        <v>1</v>
      </c>
      <c r="J24" s="89"/>
      <c r="K24" s="11" t="s">
        <v>15</v>
      </c>
      <c r="L24" s="11"/>
      <c r="M24" s="11" t="s">
        <v>7</v>
      </c>
    </row>
    <row r="25" spans="1:13" x14ac:dyDescent="0.3">
      <c r="A25" s="11"/>
      <c r="B25" s="60"/>
      <c r="C25" s="11"/>
      <c r="D25" s="11"/>
      <c r="E25" s="42"/>
      <c r="F25" s="11"/>
      <c r="G25" s="11"/>
      <c r="H25" s="11" t="str" cm="1">
        <f t="array" ref="H25">_xlfn.SWITCH(G25,"XS",1,"S",2,"M",3,"L",5,"XL",8,"XXL",13,"XXXL",21,"")</f>
        <v/>
      </c>
      <c r="I25" s="11" t="str">
        <f t="shared" si="1"/>
        <v/>
      </c>
      <c r="J25" s="90"/>
      <c r="K25" s="11" t="s">
        <v>15</v>
      </c>
      <c r="L25" s="11"/>
      <c r="M25" s="11" t="s">
        <v>7</v>
      </c>
    </row>
    <row r="26" spans="1:13" x14ac:dyDescent="0.3">
      <c r="A26" s="29"/>
      <c r="B26" s="57"/>
      <c r="C26" s="29"/>
      <c r="D26" s="29"/>
      <c r="E26" s="39"/>
      <c r="F26" s="39"/>
      <c r="G26" s="29"/>
      <c r="H26" s="29" t="str" cm="1">
        <f t="array" ref="H26">_xlfn.SWITCH(G26,"XS",1,"S",2,"M",3,"L",5,"XL",8,"XXL",13,"XXXL",21,"")</f>
        <v/>
      </c>
      <c r="I26" s="29" t="str">
        <f t="shared" si="1"/>
        <v/>
      </c>
      <c r="J26" s="78">
        <f>SUM(I26:I28)</f>
        <v>0</v>
      </c>
      <c r="K26" s="29" t="s">
        <v>15</v>
      </c>
      <c r="L26" s="29"/>
      <c r="M26" s="29"/>
    </row>
    <row r="27" spans="1:13" s="9" customFormat="1" ht="96.6" customHeight="1" x14ac:dyDescent="0.3">
      <c r="A27" s="17"/>
      <c r="B27" s="58"/>
      <c r="C27" s="17"/>
      <c r="D27" s="17"/>
      <c r="E27" s="40"/>
      <c r="F27" s="17"/>
      <c r="G27" s="17"/>
      <c r="H27" s="17" t="str" cm="1">
        <f t="array" ref="H27">_xlfn.SWITCH(G27,"XS",1,"S",2,"M",3,"L",5,"XL",8,"XXL",13,"XXXL",21,"")</f>
        <v/>
      </c>
      <c r="I27" s="17" t="str">
        <f t="shared" si="1"/>
        <v/>
      </c>
      <c r="J27" s="73"/>
      <c r="K27" s="17" t="s">
        <v>15</v>
      </c>
      <c r="L27" s="17"/>
      <c r="M27" s="17" t="s">
        <v>7</v>
      </c>
    </row>
    <row r="28" spans="1:13" s="9" customFormat="1" ht="96.6" customHeight="1" x14ac:dyDescent="0.3">
      <c r="A28" s="17"/>
      <c r="B28" s="58"/>
      <c r="C28" s="17"/>
      <c r="D28" s="17"/>
      <c r="E28" s="40"/>
      <c r="F28" s="17"/>
      <c r="G28" s="17"/>
      <c r="H28" s="17" t="str" cm="1">
        <f t="array" ref="H28">_xlfn.SWITCH(G28,"XS",1,"S",2,"M",3,"L",5,"XL",8,"XXL",13,"XXXL",21,"")</f>
        <v/>
      </c>
      <c r="I28" s="17" t="str">
        <f t="shared" si="1"/>
        <v/>
      </c>
      <c r="J28" s="74"/>
      <c r="K28" s="17" t="s">
        <v>15</v>
      </c>
      <c r="L28" s="17"/>
      <c r="M28" s="17" t="s">
        <v>7</v>
      </c>
    </row>
    <row r="29" spans="1:13" x14ac:dyDescent="0.3">
      <c r="A29" s="12"/>
      <c r="B29" s="61"/>
      <c r="C29" s="12"/>
      <c r="D29" s="12"/>
      <c r="E29" s="43"/>
      <c r="F29" s="27"/>
      <c r="G29" s="28"/>
      <c r="H29" s="28" t="str" cm="1">
        <f t="array" ref="H29">_xlfn.SWITCH(G29,"XS",1,"S",2,"M",3,"L",5,"XL",8,"XXL",13,"XXXL",21,"")</f>
        <v/>
      </c>
      <c r="I29" s="28" t="str">
        <f t="shared" si="1"/>
        <v/>
      </c>
      <c r="J29" s="75">
        <f>SUM(I29:I39)</f>
        <v>2</v>
      </c>
      <c r="K29" s="12" t="s">
        <v>15</v>
      </c>
      <c r="L29" s="12"/>
      <c r="M29" s="12"/>
    </row>
    <row r="30" spans="1:13" x14ac:dyDescent="0.3">
      <c r="A30" s="12"/>
      <c r="B30" s="61"/>
      <c r="C30" s="12"/>
      <c r="D30" s="12"/>
      <c r="E30" s="43"/>
      <c r="F30" s="12"/>
      <c r="G30" s="12"/>
      <c r="H30" s="12" t="str" cm="1">
        <f t="array" ref="H30">_xlfn.SWITCH(G30,"XS",1,"S",2,"M",3,"L",5,"XL",8,"XXL",13,"XXXL",21,"")</f>
        <v/>
      </c>
      <c r="I30" s="12" t="str">
        <f t="shared" si="1"/>
        <v/>
      </c>
      <c r="J30" s="76"/>
      <c r="K30" s="12" t="s">
        <v>15</v>
      </c>
      <c r="L30" s="12"/>
      <c r="M30" s="12" t="s">
        <v>7</v>
      </c>
    </row>
    <row r="31" spans="1:13" x14ac:dyDescent="0.3">
      <c r="A31" s="12"/>
      <c r="B31" s="61"/>
      <c r="C31" s="12"/>
      <c r="D31" s="12"/>
      <c r="E31" s="43"/>
      <c r="F31" s="12"/>
      <c r="G31" s="12"/>
      <c r="H31" s="12" t="str" cm="1">
        <f t="array" ref="H31">_xlfn.SWITCH(G31,"XS",1,"S",2,"M",3,"L",5,"XL",8,"XXL",13,"XXXL",21,"")</f>
        <v/>
      </c>
      <c r="I31" s="12" t="str">
        <f t="shared" si="1"/>
        <v/>
      </c>
      <c r="J31" s="76"/>
      <c r="K31" s="12" t="s">
        <v>15</v>
      </c>
      <c r="L31" s="12"/>
      <c r="M31" s="12" t="s">
        <v>7</v>
      </c>
    </row>
    <row r="32" spans="1:13" x14ac:dyDescent="0.3">
      <c r="A32" s="12"/>
      <c r="B32" s="61"/>
      <c r="C32" s="12"/>
      <c r="D32" s="12"/>
      <c r="E32" s="43"/>
      <c r="F32" s="12"/>
      <c r="G32" s="12"/>
      <c r="H32" s="12" t="str" cm="1">
        <f t="array" ref="H32">_xlfn.SWITCH(G32,"XS",1,"S",2,"M",3,"L",5,"XL",8,"XXL",13,"XXXL",21,"")</f>
        <v/>
      </c>
      <c r="I32" s="12" t="str">
        <f t="shared" si="1"/>
        <v/>
      </c>
      <c r="J32" s="76"/>
      <c r="K32" s="12" t="s">
        <v>15</v>
      </c>
      <c r="L32" s="12"/>
      <c r="M32" s="12" t="s">
        <v>7</v>
      </c>
    </row>
    <row r="33" spans="1:13" x14ac:dyDescent="0.3">
      <c r="A33" s="12"/>
      <c r="B33" s="61"/>
      <c r="C33" s="12"/>
      <c r="D33" s="12"/>
      <c r="E33" s="43"/>
      <c r="F33" s="12"/>
      <c r="G33" s="12"/>
      <c r="H33" s="12" t="str" cm="1">
        <f t="array" ref="H33">_xlfn.SWITCH(G33,"XS",1,"S",2,"M",3,"L",5,"XL",8,"XXL",13,"XXXL",21,"")</f>
        <v/>
      </c>
      <c r="I33" s="12" t="str">
        <f t="shared" si="1"/>
        <v/>
      </c>
      <c r="J33" s="76"/>
      <c r="K33" s="12" t="s">
        <v>15</v>
      </c>
      <c r="L33" s="12"/>
      <c r="M33" s="12" t="s">
        <v>7</v>
      </c>
    </row>
    <row r="34" spans="1:13" x14ac:dyDescent="0.3">
      <c r="A34" s="12"/>
      <c r="B34" s="61"/>
      <c r="C34" s="12"/>
      <c r="D34" s="12"/>
      <c r="E34" s="43"/>
      <c r="F34" s="28"/>
      <c r="G34" s="12"/>
      <c r="H34" s="12" t="str" cm="1">
        <f t="array" ref="H34">_xlfn.SWITCH(G34,"XS",1,"S",2,"M",3,"L",5,"XL",8,"XXL",13,"XXXL",21,"")</f>
        <v/>
      </c>
      <c r="I34" s="12" t="str">
        <f t="shared" si="1"/>
        <v/>
      </c>
      <c r="J34" s="76"/>
      <c r="K34" s="12" t="s">
        <v>15</v>
      </c>
      <c r="L34" s="12"/>
      <c r="M34" s="12"/>
    </row>
    <row r="35" spans="1:13" ht="58.8" customHeight="1" x14ac:dyDescent="0.3">
      <c r="A35" s="13"/>
      <c r="B35" s="13">
        <v>4.4000000000000004</v>
      </c>
      <c r="C35" s="13"/>
      <c r="D35" s="13"/>
      <c r="E35" s="44" t="s">
        <v>40</v>
      </c>
      <c r="F35" s="13"/>
      <c r="G35" s="13" t="s">
        <v>19</v>
      </c>
      <c r="H35" s="13" cm="1">
        <f t="array" ref="H35">_xlfn.SWITCH(G35,"XS",1,"S",2,"M",3,"L",5,"XL",8,"XXL",13,"XXXL",21,"")</f>
        <v>2</v>
      </c>
      <c r="I35" s="13">
        <f t="shared" si="1"/>
        <v>2</v>
      </c>
      <c r="J35" s="76"/>
      <c r="K35" s="13" t="s">
        <v>15</v>
      </c>
      <c r="L35" s="13"/>
      <c r="M35" s="13" t="s">
        <v>7</v>
      </c>
    </row>
    <row r="36" spans="1:13" x14ac:dyDescent="0.3">
      <c r="A36" s="13"/>
      <c r="B36" s="62"/>
      <c r="C36" s="13"/>
      <c r="D36" s="13"/>
      <c r="E36" s="44"/>
      <c r="F36" s="13"/>
      <c r="G36" s="13"/>
      <c r="H36" s="13" t="str" cm="1">
        <f t="array" ref="H36">_xlfn.SWITCH(G36,"XS",1,"S",2,"M",3,"L",5,"XL",8,"XXL",13,"XXXL",21,"")</f>
        <v/>
      </c>
      <c r="I36" s="13" t="str">
        <f t="shared" si="1"/>
        <v/>
      </c>
      <c r="J36" s="76"/>
      <c r="K36" s="13" t="s">
        <v>15</v>
      </c>
      <c r="L36" s="13"/>
      <c r="M36" s="13" t="s">
        <v>7</v>
      </c>
    </row>
    <row r="37" spans="1:13" ht="40.799999999999997" customHeight="1" x14ac:dyDescent="0.3">
      <c r="A37" s="13"/>
      <c r="B37" s="62"/>
      <c r="C37" s="13"/>
      <c r="D37" s="13"/>
      <c r="E37" s="44"/>
      <c r="F37" s="13"/>
      <c r="G37" s="13"/>
      <c r="H37" s="13" t="str" cm="1">
        <f t="array" ref="H37">_xlfn.SWITCH(G37,"XS",1,"S",2,"M",3,"L",5,"XL",8,"XXL",13,"XXXL",21,"")</f>
        <v/>
      </c>
      <c r="I37" s="13" t="str">
        <f t="shared" si="1"/>
        <v/>
      </c>
      <c r="J37" s="76"/>
      <c r="K37" s="13" t="s">
        <v>15</v>
      </c>
      <c r="L37" s="13"/>
      <c r="M37" s="13" t="s">
        <v>7</v>
      </c>
    </row>
    <row r="38" spans="1:13" x14ac:dyDescent="0.3">
      <c r="A38" s="13"/>
      <c r="B38" s="62"/>
      <c r="C38" s="13"/>
      <c r="D38" s="13"/>
      <c r="E38" s="45"/>
      <c r="F38" s="13"/>
      <c r="G38" s="13"/>
      <c r="H38" s="13" t="str" cm="1">
        <f t="array" ref="H38">_xlfn.SWITCH(G38,"XS",1,"S",2,"M",3,"L",5,"XL",8,"XXL",13,"XXXL",21,"")</f>
        <v/>
      </c>
      <c r="I38" s="13" t="str">
        <f t="shared" si="1"/>
        <v/>
      </c>
      <c r="J38" s="76"/>
      <c r="K38" s="13" t="s">
        <v>15</v>
      </c>
      <c r="L38" s="13"/>
      <c r="M38" s="13" t="s">
        <v>7</v>
      </c>
    </row>
    <row r="39" spans="1:13" x14ac:dyDescent="0.3">
      <c r="A39" s="13"/>
      <c r="B39" s="62"/>
      <c r="C39" s="13"/>
      <c r="D39" s="13"/>
      <c r="E39" s="45"/>
      <c r="F39" s="25"/>
      <c r="G39" s="13"/>
      <c r="H39" s="25" t="str" cm="1">
        <f t="array" ref="H39">_xlfn.SWITCH(G39,"XS",1,"S",2,"M",3,"L",5,"XL",8,"XXL",13,"XXXL",21,"")</f>
        <v/>
      </c>
      <c r="I39" s="25" t="str">
        <f t="shared" si="1"/>
        <v/>
      </c>
      <c r="J39" s="77"/>
      <c r="K39" s="13" t="s">
        <v>15</v>
      </c>
      <c r="L39" s="13"/>
      <c r="M39" s="13" t="s">
        <v>7</v>
      </c>
    </row>
    <row r="40" spans="1:13" ht="75" customHeight="1" x14ac:dyDescent="0.3">
      <c r="A40" s="29"/>
      <c r="B40" s="57"/>
      <c r="C40" s="29"/>
      <c r="D40" s="29"/>
      <c r="E40" s="46"/>
      <c r="F40" s="30"/>
      <c r="G40" s="30"/>
      <c r="H40" s="30" t="str" cm="1">
        <f t="array" ref="H40">_xlfn.SWITCH(G40,"XS",1,"S",2,"M",3,"L",5,"XL",8,"XXL",13,"XXXL",21,"")</f>
        <v/>
      </c>
      <c r="I40" s="30" t="str">
        <f t="shared" si="1"/>
        <v/>
      </c>
      <c r="J40" s="78">
        <f>SUM(I40:I42)</f>
        <v>0</v>
      </c>
      <c r="K40" s="29" t="s">
        <v>15</v>
      </c>
      <c r="L40" s="29"/>
      <c r="M40" s="29"/>
    </row>
    <row r="41" spans="1:13" s="9" customFormat="1" x14ac:dyDescent="0.3">
      <c r="A41" s="17"/>
      <c r="B41" s="58"/>
      <c r="C41" s="17"/>
      <c r="D41" s="17"/>
      <c r="E41" s="47"/>
      <c r="F41" s="17"/>
      <c r="G41" s="17"/>
      <c r="H41" s="13" t="str" cm="1">
        <f t="array" ref="H41">_xlfn.SWITCH(G41,"XS",1,"S",2,"M",3,"L",5,"XL",8,"XXL",13,"XXXL",21,"")</f>
        <v/>
      </c>
      <c r="I41" s="13" t="str">
        <f t="shared" si="1"/>
        <v/>
      </c>
      <c r="J41" s="73"/>
      <c r="K41" s="17" t="s">
        <v>15</v>
      </c>
      <c r="L41" s="17"/>
      <c r="M41" s="17" t="s">
        <v>7</v>
      </c>
    </row>
    <row r="42" spans="1:13" s="9" customFormat="1" x14ac:dyDescent="0.3">
      <c r="A42" s="17"/>
      <c r="B42" s="58"/>
      <c r="C42" s="17"/>
      <c r="D42" s="17"/>
      <c r="E42" s="47"/>
      <c r="F42" s="17"/>
      <c r="G42" s="17"/>
      <c r="H42" s="13" t="str" cm="1">
        <f t="array" ref="H42">_xlfn.SWITCH(G42,"XS",1,"S",2,"M",3,"L",5,"XL",8,"XXL",13,"XXXL",21,"")</f>
        <v/>
      </c>
      <c r="I42" s="13" t="str">
        <f t="shared" si="1"/>
        <v/>
      </c>
      <c r="J42" s="74"/>
      <c r="K42" s="17" t="s">
        <v>15</v>
      </c>
      <c r="L42" s="17"/>
      <c r="M42" s="17" t="s">
        <v>7</v>
      </c>
    </row>
    <row r="43" spans="1:13" x14ac:dyDescent="0.3">
      <c r="A43" s="15"/>
      <c r="B43" s="63"/>
      <c r="C43" s="15"/>
      <c r="D43" s="15"/>
      <c r="E43" s="32"/>
      <c r="F43" s="24"/>
      <c r="G43" s="24"/>
      <c r="H43" s="24" t="str" cm="1">
        <f t="array" ref="H43">_xlfn.SWITCH(G43,"XS",1,"S",2,"M",3,"L",5,"XL",8,"XXL",13,"XXXL",21,"")</f>
        <v/>
      </c>
      <c r="I43" s="24" t="str">
        <f t="shared" si="1"/>
        <v/>
      </c>
      <c r="J43" s="79">
        <f>SUM(I43:I50)</f>
        <v>2</v>
      </c>
      <c r="K43" s="15" t="s">
        <v>15</v>
      </c>
      <c r="L43" s="15"/>
      <c r="M43" s="15" t="s">
        <v>7</v>
      </c>
    </row>
    <row r="44" spans="1:13" x14ac:dyDescent="0.3">
      <c r="A44" s="15"/>
      <c r="B44" s="63"/>
      <c r="C44" s="15"/>
      <c r="D44" s="15"/>
      <c r="E44" s="32"/>
      <c r="F44" s="15"/>
      <c r="G44" s="15"/>
      <c r="H44" s="15" t="str" cm="1">
        <f t="array" ref="H44">_xlfn.SWITCH(G44,"XS",1,"S",2,"M",3,"L",5,"XL",8,"XXL",13,"XXXL",21,"")</f>
        <v/>
      </c>
      <c r="I44" s="15" t="str">
        <f t="shared" si="1"/>
        <v/>
      </c>
      <c r="J44" s="80"/>
      <c r="K44" s="15" t="s">
        <v>15</v>
      </c>
      <c r="L44" s="15"/>
      <c r="M44" s="15" t="s">
        <v>7</v>
      </c>
    </row>
    <row r="45" spans="1:13" x14ac:dyDescent="0.3">
      <c r="A45" s="15"/>
      <c r="B45" s="63"/>
      <c r="C45" s="15"/>
      <c r="D45" s="15"/>
      <c r="E45" s="32"/>
      <c r="F45" s="15"/>
      <c r="G45" s="15"/>
      <c r="H45" s="15" t="str" cm="1">
        <f t="array" ref="H45">_xlfn.SWITCH(G45,"XS",1,"S",2,"M",3,"L",5,"XL",8,"XXL",13,"XXXL",21,"")</f>
        <v/>
      </c>
      <c r="I45" s="15" t="str">
        <f t="shared" si="1"/>
        <v/>
      </c>
      <c r="J45" s="80"/>
      <c r="K45" s="15" t="s">
        <v>15</v>
      </c>
      <c r="L45" s="15"/>
      <c r="M45" s="15" t="s">
        <v>7</v>
      </c>
    </row>
    <row r="46" spans="1:13" x14ac:dyDescent="0.3">
      <c r="A46" s="15"/>
      <c r="B46" s="63"/>
      <c r="C46" s="15"/>
      <c r="D46" s="15"/>
      <c r="E46" s="32"/>
      <c r="F46" s="15"/>
      <c r="G46" s="15"/>
      <c r="H46" s="15" t="str" cm="1">
        <f t="array" ref="H46">_xlfn.SWITCH(G46,"XS",1,"S",2,"M",3,"L",5,"XL",8,"XXL",13,"XXXL",21,"")</f>
        <v/>
      </c>
      <c r="I46" s="15" t="str">
        <f t="shared" si="1"/>
        <v/>
      </c>
      <c r="J46" s="80"/>
      <c r="K46" s="15" t="s">
        <v>15</v>
      </c>
      <c r="L46" s="15"/>
      <c r="M46" s="15" t="s">
        <v>7</v>
      </c>
    </row>
    <row r="47" spans="1:13" ht="158.4" x14ac:dyDescent="0.3">
      <c r="A47" s="14"/>
      <c r="B47" s="64" t="s">
        <v>42</v>
      </c>
      <c r="C47" s="14"/>
      <c r="D47" s="14"/>
      <c r="E47" s="33" t="s">
        <v>43</v>
      </c>
      <c r="F47" s="68"/>
      <c r="G47" s="68" t="s">
        <v>19</v>
      </c>
      <c r="H47" s="68" cm="1">
        <f t="array" ref="H47">_xlfn.SWITCH(G47,"XS",1,"S",2,"M",3,"L",5,"XL",8,"XXL",13,"XXXL",21,"")</f>
        <v>2</v>
      </c>
      <c r="I47" s="68">
        <f t="shared" si="1"/>
        <v>2</v>
      </c>
      <c r="J47" s="80"/>
      <c r="K47" s="15" t="s">
        <v>15</v>
      </c>
      <c r="L47" s="15"/>
      <c r="M47" s="15"/>
    </row>
    <row r="48" spans="1:13" x14ac:dyDescent="0.3">
      <c r="A48" s="14"/>
      <c r="B48" s="64"/>
      <c r="C48" s="14"/>
      <c r="D48" s="14"/>
      <c r="E48" s="33"/>
      <c r="F48" s="14"/>
      <c r="G48" s="14"/>
      <c r="H48" s="14" t="str" cm="1">
        <f t="array" ref="H48">_xlfn.SWITCH(G48,"XS",1,"S",2,"M",3,"L",5,"XL",8,"XXL",13,"XXXL",21,"")</f>
        <v/>
      </c>
      <c r="I48" s="14" t="str">
        <f t="shared" si="1"/>
        <v/>
      </c>
      <c r="J48" s="80"/>
      <c r="K48" s="14" t="s">
        <v>15</v>
      </c>
      <c r="L48" s="14"/>
      <c r="M48" s="14" t="s">
        <v>7</v>
      </c>
    </row>
    <row r="49" spans="1:13" x14ac:dyDescent="0.3">
      <c r="A49" s="14"/>
      <c r="B49" s="64"/>
      <c r="C49" s="14"/>
      <c r="D49" s="14"/>
      <c r="E49" s="33"/>
      <c r="F49" s="14"/>
      <c r="G49" s="14"/>
      <c r="H49" s="14" t="str" cm="1">
        <f t="array" ref="H49">_xlfn.SWITCH(G49,"XS",1,"S",2,"M",3,"L",5,"XL",8,"XXL",13,"XXXL",21,"")</f>
        <v/>
      </c>
      <c r="I49" s="14" t="str">
        <f t="shared" si="1"/>
        <v/>
      </c>
      <c r="J49" s="80"/>
      <c r="K49" s="14" t="s">
        <v>15</v>
      </c>
      <c r="L49" s="14"/>
      <c r="M49" s="14" t="s">
        <v>7</v>
      </c>
    </row>
    <row r="50" spans="1:13" x14ac:dyDescent="0.3">
      <c r="A50" s="14"/>
      <c r="B50" s="64"/>
      <c r="C50" s="14"/>
      <c r="D50" s="14"/>
      <c r="E50" s="33"/>
      <c r="F50" s="14"/>
      <c r="G50" s="14"/>
      <c r="H50" s="14" t="str" cm="1">
        <f t="array" ref="H50">_xlfn.SWITCH(G50,"XS",1,"S",2,"M",3,"L",5,"XL",8,"XXL",13,"XXXL",21,"")</f>
        <v/>
      </c>
      <c r="I50" s="14" t="str">
        <f t="shared" si="1"/>
        <v/>
      </c>
      <c r="J50" s="80"/>
      <c r="K50" s="14" t="s">
        <v>15</v>
      </c>
      <c r="L50" s="14"/>
      <c r="M50" s="14" t="s">
        <v>7</v>
      </c>
    </row>
    <row r="51" spans="1:13" x14ac:dyDescent="0.3">
      <c r="A51" s="29"/>
      <c r="B51" s="57"/>
      <c r="C51" s="29"/>
      <c r="D51" s="29"/>
      <c r="E51" s="46"/>
      <c r="F51" s="29"/>
      <c r="G51" s="29"/>
      <c r="H51" s="29" t="str" cm="1">
        <f t="array" ref="H51">_xlfn.SWITCH(G51,"XS",1,"S",2,"M",3,"L",5,"XL",8,"XXL",13,"XXXL",21,"")</f>
        <v/>
      </c>
      <c r="I51" s="29" t="str">
        <f t="shared" si="1"/>
        <v/>
      </c>
      <c r="J51" s="81">
        <f>SUM(I51:I53)</f>
        <v>2</v>
      </c>
      <c r="K51" s="29" t="s">
        <v>15</v>
      </c>
      <c r="L51" s="29"/>
      <c r="M51" s="29"/>
    </row>
    <row r="52" spans="1:13" s="9" customFormat="1" x14ac:dyDescent="0.3">
      <c r="A52" s="17"/>
      <c r="B52" s="58"/>
      <c r="C52" s="17"/>
      <c r="D52" s="17"/>
      <c r="E52" s="40"/>
      <c r="F52" s="17"/>
      <c r="G52" s="17"/>
      <c r="H52" s="17" t="str" cm="1">
        <f t="array" ref="H52">_xlfn.SWITCH(G52,"XS",1,"S",2,"M",3,"L",5,"XL",8,"XXL",13,"XXXL",21,"")</f>
        <v/>
      </c>
      <c r="I52" s="17" t="str">
        <f t="shared" si="1"/>
        <v/>
      </c>
      <c r="J52" s="81"/>
      <c r="K52" s="17" t="s">
        <v>15</v>
      </c>
      <c r="L52" s="17"/>
      <c r="M52" s="17" t="s">
        <v>7</v>
      </c>
    </row>
    <row r="53" spans="1:13" s="9" customFormat="1" x14ac:dyDescent="0.3">
      <c r="A53" s="17"/>
      <c r="B53" s="58"/>
      <c r="C53" s="17"/>
      <c r="D53" s="17"/>
      <c r="E53" s="40"/>
      <c r="F53" s="17"/>
      <c r="G53" s="17" t="s">
        <v>19</v>
      </c>
      <c r="H53" s="17" cm="1">
        <f t="array" ref="H53">_xlfn.SWITCH(G53,"XS",1,"S",2,"M",3,"L",5,"XL",8,"XXL",13,"XXXL",21,"")</f>
        <v>2</v>
      </c>
      <c r="I53" s="17">
        <f t="shared" si="1"/>
        <v>2</v>
      </c>
      <c r="J53" s="81"/>
      <c r="K53" s="17" t="s">
        <v>15</v>
      </c>
      <c r="L53" s="17"/>
      <c r="M53" s="17" t="s">
        <v>7</v>
      </c>
    </row>
    <row r="54" spans="1:13" x14ac:dyDescent="0.3">
      <c r="A54" s="16"/>
      <c r="B54" s="65"/>
      <c r="C54" s="16"/>
      <c r="D54" s="16"/>
      <c r="E54" s="48"/>
      <c r="F54" s="16"/>
      <c r="G54" s="16"/>
      <c r="H54" s="16" t="str" cm="1">
        <f t="array" ref="H54">_xlfn.SWITCH(G54,"XS",1,"S",2,"M",3,"L",5,"XL",8,"XXL",13,"XXXL",21,"")</f>
        <v/>
      </c>
      <c r="I54" s="16" t="str">
        <f t="shared" si="1"/>
        <v/>
      </c>
      <c r="J54" s="82">
        <f>SUM(I54:I65)</f>
        <v>1</v>
      </c>
      <c r="K54" s="16" t="s">
        <v>15</v>
      </c>
      <c r="L54" s="16"/>
      <c r="M54" s="16" t="s">
        <v>7</v>
      </c>
    </row>
    <row r="55" spans="1:13" x14ac:dyDescent="0.3">
      <c r="A55" s="16"/>
      <c r="B55" s="65"/>
      <c r="C55" s="16"/>
      <c r="D55" s="16"/>
      <c r="E55" s="48"/>
      <c r="F55" s="16"/>
      <c r="G55" s="16"/>
      <c r="H55" s="16" t="str" cm="1">
        <f t="array" ref="H55">_xlfn.SWITCH(G55,"XS",1,"S",2,"M",3,"L",5,"XL",8,"XXL",13,"XXXL",21,"")</f>
        <v/>
      </c>
      <c r="I55" s="16" t="str">
        <f t="shared" si="1"/>
        <v/>
      </c>
      <c r="J55" s="83"/>
      <c r="K55" s="16" t="s">
        <v>15</v>
      </c>
      <c r="L55" s="16"/>
      <c r="M55" s="16"/>
    </row>
    <row r="56" spans="1:13" x14ac:dyDescent="0.3">
      <c r="A56" s="16"/>
      <c r="B56" s="65"/>
      <c r="C56" s="16"/>
      <c r="D56" s="16"/>
      <c r="E56" s="48"/>
      <c r="F56" s="16"/>
      <c r="G56" s="16"/>
      <c r="H56" s="16" t="str" cm="1">
        <f t="array" ref="H56">_xlfn.SWITCH(G56,"XS",1,"S",2,"M",3,"L",5,"XL",8,"XXL",13,"XXXL",21,"")</f>
        <v/>
      </c>
      <c r="I56" s="16" t="str">
        <f t="shared" si="1"/>
        <v/>
      </c>
      <c r="J56" s="83"/>
      <c r="K56" s="16" t="s">
        <v>15</v>
      </c>
      <c r="L56" s="16"/>
      <c r="M56" s="16"/>
    </row>
    <row r="57" spans="1:13" x14ac:dyDescent="0.3">
      <c r="A57" s="16"/>
      <c r="B57" s="65"/>
      <c r="C57" s="16"/>
      <c r="D57" s="16"/>
      <c r="E57" s="48"/>
      <c r="F57" s="16"/>
      <c r="G57" s="16"/>
      <c r="H57" s="16" t="str" cm="1">
        <f t="array" ref="H57">_xlfn.SWITCH(G57,"XS",1,"S",2,"M",3,"L",5,"XL",8,"XXL",13,"XXXL",21,"")</f>
        <v/>
      </c>
      <c r="I57" s="16" t="str">
        <f t="shared" si="1"/>
        <v/>
      </c>
      <c r="J57" s="83"/>
      <c r="K57" s="16" t="s">
        <v>15</v>
      </c>
      <c r="L57" s="16"/>
      <c r="M57" s="16" t="s">
        <v>7</v>
      </c>
    </row>
    <row r="58" spans="1:13" ht="43.2" x14ac:dyDescent="0.3">
      <c r="A58" s="18"/>
      <c r="B58" s="26" t="s">
        <v>44</v>
      </c>
      <c r="C58" s="18"/>
      <c r="D58" s="18"/>
      <c r="E58" s="49" t="s">
        <v>45</v>
      </c>
      <c r="F58" s="18"/>
      <c r="G58" s="18" t="s">
        <v>20</v>
      </c>
      <c r="H58" s="18" cm="1">
        <f t="array" ref="H58">_xlfn.SWITCH(G58,"XS",1,"S",2,"M",3,"L",5,"XL",8,"XXL",13,"XXXL",21,"")</f>
        <v>1</v>
      </c>
      <c r="I58" s="18">
        <f t="shared" si="1"/>
        <v>1</v>
      </c>
      <c r="J58" s="83"/>
      <c r="K58" s="18" t="s">
        <v>15</v>
      </c>
      <c r="L58" s="18"/>
      <c r="M58" s="18" t="s">
        <v>7</v>
      </c>
    </row>
    <row r="59" spans="1:13" x14ac:dyDescent="0.3">
      <c r="A59" s="18"/>
      <c r="B59" s="26"/>
      <c r="C59" s="18"/>
      <c r="D59" s="18"/>
      <c r="E59" s="49"/>
      <c r="F59" s="18"/>
      <c r="G59" s="18"/>
      <c r="H59" s="18" t="str" cm="1">
        <f t="array" ref="H59">_xlfn.SWITCH(G59,"XS",1,"S",2,"M",3,"L",5,"XL",8,"XXL",13,"XXXL",21,"")</f>
        <v/>
      </c>
      <c r="I59" s="18" t="str">
        <f t="shared" si="1"/>
        <v/>
      </c>
      <c r="J59" s="83"/>
      <c r="K59" s="18" t="s">
        <v>15</v>
      </c>
      <c r="L59" s="18"/>
      <c r="M59" s="18" t="s">
        <v>7</v>
      </c>
    </row>
    <row r="60" spans="1:13" x14ac:dyDescent="0.3">
      <c r="A60" s="18"/>
      <c r="B60" s="26"/>
      <c r="C60" s="18"/>
      <c r="D60" s="18"/>
      <c r="E60" s="49"/>
      <c r="F60" s="18"/>
      <c r="G60" s="18"/>
      <c r="H60" s="18" t="str" cm="1">
        <f t="array" ref="H60">_xlfn.SWITCH(G60,"XS",1,"S",2,"M",3,"L",5,"XL",8,"XXL",13,"XXXL",21,"")</f>
        <v/>
      </c>
      <c r="I60" s="18" t="str">
        <f t="shared" si="1"/>
        <v/>
      </c>
      <c r="J60" s="83"/>
      <c r="K60" s="18" t="s">
        <v>15</v>
      </c>
      <c r="L60" s="18"/>
      <c r="M60" s="18" t="s">
        <v>7</v>
      </c>
    </row>
    <row r="61" spans="1:13" x14ac:dyDescent="0.3">
      <c r="A61" s="18"/>
      <c r="B61" s="26"/>
      <c r="C61" s="18"/>
      <c r="D61" s="18"/>
      <c r="E61" s="49"/>
      <c r="F61" s="18"/>
      <c r="G61" s="18"/>
      <c r="H61" s="18" t="str" cm="1">
        <f t="array" ref="H61">_xlfn.SWITCH(G61,"XS",1,"S",2,"M",3,"L",5,"XL",8,"XXL",13,"XXXL",21,"")</f>
        <v/>
      </c>
      <c r="I61" s="18" t="str">
        <f t="shared" si="1"/>
        <v/>
      </c>
      <c r="J61" s="83"/>
      <c r="K61" s="18" t="s">
        <v>15</v>
      </c>
      <c r="L61" s="18"/>
      <c r="M61" s="18" t="s">
        <v>7</v>
      </c>
    </row>
    <row r="62" spans="1:13" x14ac:dyDescent="0.3">
      <c r="A62" s="18"/>
      <c r="B62" s="26"/>
      <c r="C62" s="18"/>
      <c r="D62" s="18"/>
      <c r="E62" s="49"/>
      <c r="F62" s="18"/>
      <c r="G62" s="18"/>
      <c r="H62" s="18" t="str" cm="1">
        <f t="array" ref="H62">_xlfn.SWITCH(G62,"XS",1,"S",2,"M",3,"L",5,"XL",8,"XXL",13,"XXXL",21,"")</f>
        <v/>
      </c>
      <c r="I62" s="18" t="str">
        <f t="shared" si="1"/>
        <v/>
      </c>
      <c r="J62" s="83"/>
      <c r="K62" s="18" t="s">
        <v>15</v>
      </c>
      <c r="L62" s="18"/>
      <c r="M62" s="18" t="s">
        <v>7</v>
      </c>
    </row>
    <row r="63" spans="1:13" x14ac:dyDescent="0.3">
      <c r="A63" s="18"/>
      <c r="B63" s="26"/>
      <c r="C63" s="18"/>
      <c r="D63" s="18"/>
      <c r="E63" s="49"/>
      <c r="F63" s="18"/>
      <c r="G63" s="18"/>
      <c r="H63" s="18" t="str" cm="1">
        <f t="array" ref="H63">_xlfn.SWITCH(G63,"XS",1,"S",2,"M",3,"L",5,"XL",8,"XXL",13,"XXXL",21,"")</f>
        <v/>
      </c>
      <c r="I63" s="18" t="str">
        <f t="shared" si="1"/>
        <v/>
      </c>
      <c r="J63" s="83"/>
      <c r="K63" s="18" t="s">
        <v>15</v>
      </c>
      <c r="L63" s="18"/>
      <c r="M63" s="18" t="s">
        <v>7</v>
      </c>
    </row>
    <row r="64" spans="1:13" x14ac:dyDescent="0.3">
      <c r="A64" s="18"/>
      <c r="B64" s="26"/>
      <c r="C64" s="18"/>
      <c r="D64" s="18"/>
      <c r="E64" s="49"/>
      <c r="F64" s="18"/>
      <c r="G64" s="18"/>
      <c r="H64" s="18" t="str" cm="1">
        <f t="array" ref="H64">_xlfn.SWITCH(G64,"XS",1,"S",2,"M",3,"L",5,"XL",8,"XXL",13,"XXXL",21,"")</f>
        <v/>
      </c>
      <c r="I64" s="18" t="str">
        <f t="shared" si="1"/>
        <v/>
      </c>
      <c r="J64" s="83"/>
      <c r="K64" s="18" t="s">
        <v>15</v>
      </c>
      <c r="L64" s="18"/>
      <c r="M64" s="18" t="s">
        <v>7</v>
      </c>
    </row>
    <row r="65" spans="1:13" x14ac:dyDescent="0.3">
      <c r="A65" s="18"/>
      <c r="B65" s="26"/>
      <c r="C65" s="18"/>
      <c r="D65" s="18"/>
      <c r="E65" s="49"/>
      <c r="F65" s="18"/>
      <c r="G65" s="18"/>
      <c r="H65" s="18" t="str" cm="1">
        <f t="array" ref="H65">_xlfn.SWITCH(G65,"XS",1,"S",2,"M",3,"L",5,"XL",8,"XXL",13,"XXXL",21,"")</f>
        <v/>
      </c>
      <c r="I65" s="18" t="str">
        <f t="shared" si="1"/>
        <v/>
      </c>
      <c r="J65" s="83"/>
      <c r="K65" s="18" t="s">
        <v>15</v>
      </c>
      <c r="L65" s="18"/>
      <c r="M65" s="18" t="s">
        <v>7</v>
      </c>
    </row>
    <row r="66" spans="1:13" s="9" customFormat="1" x14ac:dyDescent="0.3">
      <c r="A66" s="17"/>
      <c r="B66" s="58"/>
      <c r="C66" s="17"/>
      <c r="D66" s="17"/>
      <c r="E66" s="40"/>
      <c r="F66" s="17"/>
      <c r="G66" s="17"/>
      <c r="H66" s="17" t="str" cm="1">
        <f t="array" ref="H66">_xlfn.SWITCH(G66,"XS",1,"S",2,"M",3,"L",5,"XL",8,"XXL",13,"XXXL",21,"")</f>
        <v/>
      </c>
      <c r="I66" s="17" t="str">
        <f t="shared" si="1"/>
        <v/>
      </c>
      <c r="J66" s="69">
        <f>SUM(I66:I68)</f>
        <v>0</v>
      </c>
      <c r="K66" s="17" t="s">
        <v>15</v>
      </c>
      <c r="L66" s="17"/>
      <c r="M66" s="17" t="s">
        <v>7</v>
      </c>
    </row>
    <row r="67" spans="1:13" s="9" customFormat="1" ht="46.2" customHeight="1" x14ac:dyDescent="0.3">
      <c r="A67" s="17"/>
      <c r="B67" s="58"/>
      <c r="C67" s="17"/>
      <c r="D67" s="17"/>
      <c r="E67" s="40"/>
      <c r="F67" s="17"/>
      <c r="G67" s="17"/>
      <c r="H67" s="17" t="str" cm="1">
        <f t="array" ref="H67">_xlfn.SWITCH(G67,"XS",1,"S",2,"M",3,"L",5,"XL",8,"XXL",13,"XXXL",21,"")</f>
        <v/>
      </c>
      <c r="I67" s="17" t="str">
        <f t="shared" si="1"/>
        <v/>
      </c>
      <c r="J67" s="69"/>
      <c r="K67" s="17" t="s">
        <v>15</v>
      </c>
      <c r="L67" s="17"/>
      <c r="M67" s="17" t="s">
        <v>7</v>
      </c>
    </row>
    <row r="68" spans="1:13" s="9" customFormat="1" x14ac:dyDescent="0.3">
      <c r="A68" s="17"/>
      <c r="B68" s="58"/>
      <c r="C68" s="17"/>
      <c r="D68" s="17"/>
      <c r="E68" s="40"/>
      <c r="F68" s="17"/>
      <c r="G68" s="17"/>
      <c r="H68" s="17" t="str" cm="1">
        <f t="array" ref="H68">_xlfn.SWITCH(G68,"XS",1,"S",2,"M",3,"L",5,"XL",8,"XXL",13,"XXXL",21,"")</f>
        <v/>
      </c>
      <c r="I68" s="17" t="str">
        <f t="shared" si="1"/>
        <v/>
      </c>
      <c r="J68" s="70"/>
      <c r="K68" s="17" t="s">
        <v>15</v>
      </c>
      <c r="L68" s="17"/>
      <c r="M68" s="17" t="s">
        <v>7</v>
      </c>
    </row>
    <row r="69" spans="1:13" x14ac:dyDescent="0.3">
      <c r="A69" s="20"/>
      <c r="B69" s="66"/>
      <c r="C69" s="20"/>
      <c r="D69" s="20"/>
      <c r="E69" s="50"/>
      <c r="F69" s="20"/>
      <c r="G69" s="20"/>
      <c r="H69" s="20" t="str" cm="1">
        <f t="array" ref="H69">_xlfn.SWITCH(G69,"XS",1,"S",2,"M",3,"L",5,"XL",8,"XXL",13,"XXXL",21,"")</f>
        <v/>
      </c>
      <c r="I69" s="20" t="str">
        <f t="shared" si="1"/>
        <v/>
      </c>
      <c r="J69" s="71">
        <f>SUM(I69:I74)</f>
        <v>1</v>
      </c>
      <c r="K69" s="20" t="s">
        <v>15</v>
      </c>
      <c r="L69" s="20"/>
      <c r="M69" s="20" t="s">
        <v>7</v>
      </c>
    </row>
    <row r="70" spans="1:13" ht="114" customHeight="1" x14ac:dyDescent="0.3">
      <c r="A70" s="20"/>
      <c r="B70" s="66"/>
      <c r="C70" s="20"/>
      <c r="D70" s="20"/>
      <c r="E70" s="50"/>
      <c r="F70" s="20"/>
      <c r="G70" s="20"/>
      <c r="H70" s="20" t="str" cm="1">
        <f t="array" ref="H70">_xlfn.SWITCH(G70,"XS",1,"S",2,"M",3,"L",5,"XL",8,"XXL",13,"XXXL",21,"")</f>
        <v/>
      </c>
      <c r="I70" s="20" t="str">
        <f t="shared" si="1"/>
        <v/>
      </c>
      <c r="J70" s="72"/>
      <c r="K70" s="20" t="s">
        <v>15</v>
      </c>
      <c r="L70" s="20"/>
      <c r="M70" s="20"/>
    </row>
    <row r="71" spans="1:13" ht="73.8" customHeight="1" x14ac:dyDescent="0.3">
      <c r="A71" s="20"/>
      <c r="B71" s="66"/>
      <c r="C71" s="20"/>
      <c r="D71" s="20"/>
      <c r="E71" s="50"/>
      <c r="F71" s="20"/>
      <c r="G71" s="20"/>
      <c r="H71" s="20" t="str" cm="1">
        <f t="array" ref="H71">_xlfn.SWITCH(G71,"XS",1,"S",2,"M",3,"L",5,"XL",8,"XXL",13,"XXXL",21,"")</f>
        <v/>
      </c>
      <c r="I71" s="20" t="str">
        <f t="shared" si="1"/>
        <v/>
      </c>
      <c r="J71" s="72"/>
      <c r="K71" s="20" t="s">
        <v>15</v>
      </c>
      <c r="L71" s="20"/>
      <c r="M71" s="20"/>
    </row>
    <row r="72" spans="1:13" ht="43.2" x14ac:dyDescent="0.3">
      <c r="A72" s="19"/>
      <c r="B72" s="67" t="s">
        <v>46</v>
      </c>
      <c r="C72" s="19"/>
      <c r="D72" s="19"/>
      <c r="E72" s="91" t="s">
        <v>47</v>
      </c>
      <c r="F72" s="19"/>
      <c r="G72" s="19" t="s">
        <v>20</v>
      </c>
      <c r="H72" s="19" cm="1">
        <f t="array" ref="H72">_xlfn.SWITCH(G72,"XS",1,"S",2,"M",3,"L",5,"XL",8,"XXL",13,"XXXL",21,"")</f>
        <v>1</v>
      </c>
      <c r="I72" s="19">
        <f t="shared" si="1"/>
        <v>1</v>
      </c>
      <c r="J72" s="72"/>
      <c r="K72" s="19" t="s">
        <v>15</v>
      </c>
      <c r="L72" s="19"/>
      <c r="M72" s="19" t="s">
        <v>7</v>
      </c>
    </row>
    <row r="73" spans="1:13" x14ac:dyDescent="0.3">
      <c r="A73" s="19"/>
      <c r="B73" s="67"/>
      <c r="C73" s="19"/>
      <c r="D73" s="19"/>
      <c r="E73" s="51"/>
      <c r="F73" s="19"/>
      <c r="G73" s="19"/>
      <c r="H73" s="19" t="str" cm="1">
        <f t="array" ref="H73">_xlfn.SWITCH(G73,"XS",1,"S",2,"M",3,"L",5,"XL",8,"XXL",13,"XXXL",21,"")</f>
        <v/>
      </c>
      <c r="I73" s="19" t="str">
        <f t="shared" si="1"/>
        <v/>
      </c>
      <c r="J73" s="72"/>
      <c r="K73" s="19" t="s">
        <v>15</v>
      </c>
      <c r="L73" s="19"/>
      <c r="M73" s="19" t="s">
        <v>7</v>
      </c>
    </row>
    <row r="74" spans="1:13" x14ac:dyDescent="0.3">
      <c r="A74" s="19"/>
      <c r="B74" s="67"/>
      <c r="C74" s="19"/>
      <c r="D74" s="19"/>
      <c r="E74" s="51"/>
      <c r="F74" s="19"/>
      <c r="G74" s="19"/>
      <c r="H74" s="19" t="str" cm="1">
        <f t="array" ref="H74">_xlfn.SWITCH(G74,"XS",1,"S",2,"M",3,"L",5,"XL",8,"XXL",13,"XXXL",21,"")</f>
        <v/>
      </c>
      <c r="I74" s="19" t="str">
        <f t="shared" si="1"/>
        <v/>
      </c>
      <c r="J74" s="72"/>
      <c r="K74" s="19" t="s">
        <v>15</v>
      </c>
      <c r="L74" s="19"/>
      <c r="M74" s="19" t="s">
        <v>7</v>
      </c>
    </row>
    <row r="75" spans="1:13" x14ac:dyDescent="0.3">
      <c r="A75" s="29"/>
      <c r="B75" s="57"/>
      <c r="C75" s="29"/>
      <c r="D75" s="29"/>
      <c r="E75" s="39"/>
      <c r="F75" s="29"/>
      <c r="G75" s="29"/>
      <c r="H75" s="29" t="str" cm="1">
        <f t="array" ref="H75">_xlfn.SWITCH(G75,"XS",1,"S",2,"M",3,"L",5,"XL",8,"XXL",13,"XXXL",21,"")</f>
        <v/>
      </c>
      <c r="I75" s="29" t="str">
        <f t="shared" si="1"/>
        <v/>
      </c>
      <c r="J75" s="17">
        <f>SUM(I75:I76)</f>
        <v>0</v>
      </c>
      <c r="K75" s="29" t="s">
        <v>15</v>
      </c>
      <c r="L75" s="29"/>
      <c r="M75" s="29"/>
    </row>
    <row r="76" spans="1:13" s="9" customFormat="1" x14ac:dyDescent="0.3">
      <c r="A76" s="17"/>
      <c r="B76" s="58"/>
      <c r="C76" s="17"/>
      <c r="D76" s="17"/>
      <c r="E76" s="40"/>
      <c r="F76" s="17"/>
      <c r="G76" s="17"/>
      <c r="H76" s="17" t="str" cm="1">
        <f t="array" ref="H76">_xlfn.SWITCH(G76,"XS",1,"S",2,"M",3,"L",5,"XL",8,"XXL",13,"XXXL",21,"")</f>
        <v/>
      </c>
      <c r="I76" s="17" t="str">
        <f t="shared" si="1"/>
        <v/>
      </c>
      <c r="J76" s="17"/>
      <c r="K76" s="17" t="s">
        <v>15</v>
      </c>
      <c r="L76" s="17"/>
      <c r="M76" s="17" t="s">
        <v>7</v>
      </c>
    </row>
    <row r="77" spans="1:13" s="9" customFormat="1" x14ac:dyDescent="0.3">
      <c r="A77" s="17"/>
      <c r="B77" s="58"/>
      <c r="C77" s="17"/>
      <c r="D77" s="17"/>
      <c r="E77" s="40"/>
      <c r="F77" s="17"/>
      <c r="G77" s="17"/>
      <c r="H77" s="17" t="str" cm="1">
        <f t="array" ref="H77">_xlfn.SWITCH(G77,"XS",1,"S",2,"M",3,"L",5,"XL",8,"XXL",13,"XXXL",21,"")</f>
        <v/>
      </c>
      <c r="I77" s="17" t="str">
        <f t="shared" ref="I77" si="2">H77</f>
        <v/>
      </c>
      <c r="J77" s="17"/>
      <c r="K77" s="17" t="s">
        <v>15</v>
      </c>
      <c r="L77" s="17"/>
      <c r="M77" s="17" t="s">
        <v>7</v>
      </c>
    </row>
  </sheetData>
  <mergeCells count="12">
    <mergeCell ref="J2:J11"/>
    <mergeCell ref="J12:J16"/>
    <mergeCell ref="J17:J19"/>
    <mergeCell ref="J20:J25"/>
    <mergeCell ref="J26:J28"/>
    <mergeCell ref="J66:J68"/>
    <mergeCell ref="J69:J74"/>
    <mergeCell ref="J29:J39"/>
    <mergeCell ref="J40:J42"/>
    <mergeCell ref="J43:J50"/>
    <mergeCell ref="J51:J53"/>
    <mergeCell ref="J54:J65"/>
  </mergeCells>
  <phoneticPr fontId="6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9B43-8ACA-4B5D-A185-0146C384427F}">
  <dimension ref="A1:W15"/>
  <sheetViews>
    <sheetView workbookViewId="0">
      <selection activeCell="G9" sqref="G9"/>
    </sheetView>
  </sheetViews>
  <sheetFormatPr defaultRowHeight="14.4" x14ac:dyDescent="0.3"/>
  <cols>
    <col min="1" max="1" width="4.88671875" style="2" bestFit="1" customWidth="1"/>
    <col min="2" max="2" width="6.109375" style="23" bestFit="1" customWidth="1"/>
    <col min="3" max="3" width="8.44140625" style="2" bestFit="1" customWidth="1"/>
    <col min="4" max="4" width="6" style="2" bestFit="1" customWidth="1"/>
  </cols>
  <sheetData>
    <row r="1" spans="1:23" ht="57.6" x14ac:dyDescent="0.3">
      <c r="A1" s="2" t="s">
        <v>22</v>
      </c>
      <c r="B1" s="22" t="s">
        <v>23</v>
      </c>
      <c r="C1" s="1" t="s">
        <v>24</v>
      </c>
      <c r="D1" s="1" t="s">
        <v>25</v>
      </c>
    </row>
    <row r="2" spans="1:23" x14ac:dyDescent="0.3">
      <c r="A2" s="2">
        <v>0</v>
      </c>
      <c r="B2" s="22">
        <v>115</v>
      </c>
      <c r="C2" s="1">
        <v>115</v>
      </c>
      <c r="D2" s="1">
        <v>0</v>
      </c>
    </row>
    <row r="3" spans="1:23" x14ac:dyDescent="0.3">
      <c r="A3" s="2">
        <v>1</v>
      </c>
      <c r="B3" s="22">
        <v>115</v>
      </c>
      <c r="C3" s="1">
        <v>115</v>
      </c>
      <c r="D3" s="2">
        <v>0</v>
      </c>
    </row>
    <row r="4" spans="1:23" x14ac:dyDescent="0.3">
      <c r="A4" s="2">
        <v>2</v>
      </c>
      <c r="B4" s="22">
        <v>115</v>
      </c>
      <c r="C4" s="1">
        <v>115</v>
      </c>
      <c r="D4" s="2">
        <v>0</v>
      </c>
      <c r="K4" s="21"/>
    </row>
    <row r="5" spans="1:23" x14ac:dyDescent="0.3">
      <c r="A5" s="2">
        <v>3</v>
      </c>
      <c r="B5" s="22">
        <v>115</v>
      </c>
      <c r="C5" s="1">
        <v>115</v>
      </c>
      <c r="D5" s="2">
        <v>0</v>
      </c>
    </row>
    <row r="6" spans="1:23" x14ac:dyDescent="0.3">
      <c r="A6" s="2">
        <v>4</v>
      </c>
      <c r="B6" s="22">
        <v>115</v>
      </c>
      <c r="C6" s="2">
        <v>0</v>
      </c>
      <c r="D6" s="2">
        <v>0</v>
      </c>
    </row>
    <row r="7" spans="1:23" x14ac:dyDescent="0.3">
      <c r="A7" s="2">
        <v>5</v>
      </c>
      <c r="B7" s="22">
        <v>115</v>
      </c>
      <c r="C7" s="2">
        <v>0</v>
      </c>
      <c r="D7" s="2">
        <v>0</v>
      </c>
    </row>
    <row r="8" spans="1:23" x14ac:dyDescent="0.3">
      <c r="A8" s="2">
        <v>6</v>
      </c>
      <c r="B8" s="22">
        <v>115</v>
      </c>
      <c r="C8" s="2">
        <v>0</v>
      </c>
      <c r="D8" s="2">
        <v>0</v>
      </c>
    </row>
    <row r="9" spans="1:23" x14ac:dyDescent="0.3">
      <c r="A9" s="2">
        <v>7</v>
      </c>
      <c r="B9" s="22">
        <v>115</v>
      </c>
      <c r="C9" s="2">
        <v>0</v>
      </c>
      <c r="D9" s="2">
        <v>0</v>
      </c>
    </row>
    <row r="10" spans="1:23" x14ac:dyDescent="0.3">
      <c r="A10" s="2">
        <v>8</v>
      </c>
      <c r="B10" s="22">
        <v>115</v>
      </c>
      <c r="C10" s="2">
        <v>0</v>
      </c>
      <c r="D10" s="2">
        <v>0</v>
      </c>
    </row>
    <row r="11" spans="1:23" x14ac:dyDescent="0.3">
      <c r="A11" s="2">
        <v>9</v>
      </c>
      <c r="B11" s="22">
        <v>115</v>
      </c>
      <c r="C11" s="2">
        <v>0</v>
      </c>
      <c r="D11" s="2">
        <v>0</v>
      </c>
    </row>
    <row r="12" spans="1:23" x14ac:dyDescent="0.3">
      <c r="A12" s="2">
        <v>10</v>
      </c>
      <c r="B12" s="22">
        <v>115</v>
      </c>
      <c r="C12" s="2">
        <v>0</v>
      </c>
      <c r="D12" s="2">
        <v>0</v>
      </c>
    </row>
    <row r="15" spans="1:23" x14ac:dyDescent="0.3">
      <c r="W15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J26" sqref="J26"/>
    </sheetView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selection activeCell="C17" sqref="C17"/>
    </sheetView>
  </sheetViews>
  <sheetFormatPr defaultColWidth="13.44140625" defaultRowHeight="14.4" x14ac:dyDescent="0.3"/>
  <cols>
    <col min="1" max="1" width="11.6640625" style="31" bestFit="1" customWidth="1"/>
    <col min="2" max="2" width="9" style="1" bestFit="1" customWidth="1"/>
    <col min="3" max="3" width="23.88671875" style="1" customWidth="1"/>
    <col min="4" max="4" width="33" style="1" customWidth="1"/>
    <col min="5" max="5" width="9.6640625" style="1" bestFit="1" customWidth="1"/>
    <col min="6" max="6" width="6.44140625" style="1" bestFit="1" customWidth="1"/>
    <col min="7" max="7" width="8.5546875" style="1" customWidth="1"/>
    <col min="8" max="8" width="6.88671875" style="1" bestFit="1" customWidth="1"/>
    <col min="9" max="9" width="6" style="1" bestFit="1" customWidth="1"/>
    <col min="10" max="10" width="18.21875" style="1" customWidth="1"/>
    <col min="11" max="11" width="23.109375" style="1" customWidth="1"/>
    <col min="12" max="16384" width="13.44140625" style="1"/>
  </cols>
  <sheetData>
    <row r="1" spans="1:11" ht="28.8" x14ac:dyDescent="0.3">
      <c r="A1" s="31" t="s">
        <v>1</v>
      </c>
      <c r="B1" s="1" t="s">
        <v>27</v>
      </c>
      <c r="C1" s="1" t="s">
        <v>33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5</v>
      </c>
      <c r="J1" s="1" t="s">
        <v>34</v>
      </c>
      <c r="K1" s="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Board</vt:lpstr>
      <vt:lpstr>Burndown</vt:lpstr>
      <vt:lpstr>Daily Standup Guide</vt:lpstr>
      <vt:lpstr>Ambiguities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sayanb0978@gmail.com</cp:lastModifiedBy>
  <dcterms:created xsi:type="dcterms:W3CDTF">2026-01-01T14:00:11Z</dcterms:created>
  <dcterms:modified xsi:type="dcterms:W3CDTF">2026-01-27T07:51:59Z</dcterms:modified>
</cp:coreProperties>
</file>